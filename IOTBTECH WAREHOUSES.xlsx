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-TCGS\Documents\PIETYASSIGNMENT\"/>
    </mc:Choice>
  </mc:AlternateContent>
  <xr:revisionPtr revIDLastSave="0" documentId="13_ncr:1_{D3D904BC-8AAB-4267-B7B9-661E46A13FA8}" xr6:coauthVersionLast="47" xr6:coauthVersionMax="47" xr10:uidLastSave="{00000000-0000-0000-0000-000000000000}"/>
  <bookViews>
    <workbookView xWindow="-120" yWindow="-120" windowWidth="20730" windowHeight="11160" activeTab="1" xr2:uid="{C9A5BCDC-C2C5-4A09-B0AE-8548BB5CC9C1}"/>
  </bookViews>
  <sheets>
    <sheet name="DIRTY DATA" sheetId="4" r:id="rId1"/>
    <sheet name="CLEANED DATA" sheetId="2" r:id="rId2"/>
    <sheet name="Sheet1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" i="6" l="1"/>
  <c r="L10" i="6"/>
  <c r="J10" i="6"/>
  <c r="H10" i="6"/>
  <c r="L20" i="6" s="1"/>
  <c r="D10" i="6"/>
  <c r="B10" i="6"/>
  <c r="L7" i="6"/>
  <c r="L6" i="6"/>
  <c r="E6" i="6"/>
  <c r="I3" i="6"/>
  <c r="L17" i="6" l="1"/>
  <c r="L1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0AF219-396C-4515-97A3-A1176138D57C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2" xr16:uid="{0691C611-BBEA-4F64-98DD-955CA07B64FA}" keepAlive="1" name="Query - Table4_1" description="Connection to the 'Table4_1' query in the workbook." type="5" refreshedVersion="0" background="1">
    <dbPr connection="Provider=Microsoft.Mashup.OleDb.1;Data Source=$Workbook$;Location=Table4_1;Extended Properties=&quot;&quot;" command="SELECT * FROM [Table4_1]"/>
  </connection>
</connections>
</file>

<file path=xl/sharedStrings.xml><?xml version="1.0" encoding="utf-8"?>
<sst xmlns="http://schemas.openxmlformats.org/spreadsheetml/2006/main" count="623" uniqueCount="194">
  <si>
    <t>1;01/01/2024 21.13;Kelompok Tani Merdeka ;Kelompok Tani;Gudang Ngawi;Alpukat/Avocado ;Buah-Buahan;15000;100;1500000</t>
  </si>
  <si>
    <t>2;02/01/2024 21.13;Kelompok Tani Merah;Kelompok Tani;Gudang Lamongan;Anggur/Grape ;Buah-Buahan;14000;100;1400000</t>
  </si>
  <si>
    <t>3;03/01/2024 21.13;Kelompok Tani Putih;Kelompok Tani;Gudang Bojonegoro;Apel/Apple ;Buah-Buahan;13000;100;1300000</t>
  </si>
  <si>
    <t>4;04/01/2024 21.13;Kelompok Tani Wayang;Kelompok Tani;Gudang Ngawi;Belimbing/Star Fruit ;Buah-Buahan;12000;100;1200000</t>
  </si>
  <si>
    <t>5;05/01/2024 21.13;Danu;Individu;Gudang Lamongan;Duku/Langsat/Kokosan/Duku ;Buah-Buahan;11000;100;1100000</t>
  </si>
  <si>
    <t>6;06/01/2024 21.13;Dani;Individu;Gudang Bojonegoro;Durian/Durian ;Buah-Buahan;10000;100;1000000</t>
  </si>
  <si>
    <t>7;07/01/2024 21.13;Darto;Individu;Gudang Ngawi;Jambu Air/Water Apple ;Buah-Buahan;9000;100;900000</t>
  </si>
  <si>
    <t>8;08/01/2024 21.13;Dafa;Individu;Gudang Jember;Jambu Biji/Guava ;Buah-Buahan;8000;100;800000</t>
  </si>
  <si>
    <t>9;08/01/2024 21.13;Dori;Individu;Gudang Jember;Jengkol/Jengkol ;Sayuran;7000;100;700000</t>
  </si>
  <si>
    <t>10;10/01/2024 21.13;Dora;Individu;Gudang Jember;Jeruk Besar/Pomelo ;Buah-Buahan;6000;100;600000</t>
  </si>
  <si>
    <t>11;11/01/2024 21.13;Kelompok Tani Merdeka ;Kelompok Tani;Gudang Jember;Jeruk Siam/Keprok/Orange/Tangerine ;Buah-Buahan;5000;100;500000</t>
  </si>
  <si>
    <t>12;12/01/2024 21.13;Kelompok Tani Merah;Kelompok Tani;Gudang Bojonegoro;Mangga/Mango ;Buah-Buahan;4000;100;400000</t>
  </si>
  <si>
    <t>13;13/01/2024 21.13;Kelompok Tani Putih;Kelompok Tani;Gudang Ngawi;Manggis/Mangosteen ;Buah-Buahan;3000;100;300000</t>
  </si>
  <si>
    <t>14;14/01/2024 21.13;Kelompok Tani Wayang;Kelompok Tani;Gudang Lamongan;Melinjo/Gnetum/Melinjo ;Buah-Buahan;2000;100;200000</t>
  </si>
  <si>
    <t>15;15/01/2024 21.13;Kelompok Tani Golek;Kelompok Tani;Gudang Lamongan;Nangka/Cempedak/Jackfruit ;Sayuran;1000;100;100000</t>
  </si>
  <si>
    <t>16;16/02/2024 21.13;Danu;Individu;Gudang Lamongan;Nenas/Pineapple ;Buah-Buahan;15000;100;1500000</t>
  </si>
  <si>
    <t>17;17/02/2024 21.13;Dani;Individu;Gudang Lamongan;Pepaya/Papaya ;Buah-Buahan;14000;100;1400000</t>
  </si>
  <si>
    <t>18;18/02/2024 21.13;Darto;Individu;Gudang Bojonegoro;Petai/Twisted Cluster Bean ;Sayuran;13000;100;1300000</t>
  </si>
  <si>
    <t>19;19/02/2024 21.13;Dafa;Individu;Gudang Jember;Pisang/Banana ;Buah-Buahan;12000;100;1200000</t>
  </si>
  <si>
    <t>20;20/02/2024 21.13;Dori;Individu;Gudang Jember;Rambutan/Rambutan ;Buah-Buahan;11000;100;1100000</t>
  </si>
  <si>
    <t>21;21/02/2024 21.13;Dora;Individu;Gudang Banyuwangi;Salak/Snakefruit ;Buah-Buahan;10000;100;1000000</t>
  </si>
  <si>
    <t>22;22/02/2024 21.13;Kelompok Tani Merdeka ;Kelompok Tani;Gudang Tuban ;Sawo/Sapodilla/Sawo ;Buah-Buahan;9000;100;900000</t>
  </si>
  <si>
    <t>23;23/02/2024 21.13;Kelompok Tani Merah;Kelompok Tani;Gudang Madiun ;Sirsak/Soursop ;Buah-Buahan;8000;100;800000</t>
  </si>
  <si>
    <t>24;24/02/2024 21.13;Kelompok Tani Putih;Kelompok Tani;Gudang Nganjuk ;Sukun/Breadfruit ;Buah-Buahan;7000;100;700000</t>
  </si>
  <si>
    <t>25;25/02/2024 21.13;Danu;Individu;Gudang Banyuwangi;Buah Naga/Hylocereus polyrhizus ;Buah-Buahan;6000;100;600000</t>
  </si>
  <si>
    <t>26;26/02/2024 21.13;Dani;Individu;Gudang Tuban ;Jeruk Lemon/Lemon ;Buah-Buahan;5000;100;500000</t>
  </si>
  <si>
    <t>27;27/02/2024 21.13;Darto;Individu;Gudang Madiun ;Lengkeng/Dimocarpus longan ;Buah-Buahan;4000;100;400000</t>
  </si>
  <si>
    <t>28;28/02/2024 21.13;Kelompok Tani Laskar;Kelompok Tani;Gudang Nganjuk ;Alpukat/Avocado ;Buah-Buahan;3000;100;300000</t>
  </si>
  <si>
    <t>29;29/02/2024 21.13;Kelompok Tani Wangi;Kelompok Tani;Gudang Lamongan;Anggur/Grape ;Buah-Buahan;2000;100;200000</t>
  </si>
  <si>
    <t>30;01/03/2024 21.13;Kelompok Tani Indah;Kelompok Tani;Gudang Bojonegoro;Apel/Apple ;Buah-Buahan;1000;100;100000</t>
  </si>
  <si>
    <t>31;02/03/2024 21.13;Kelompok Tani Citra;Kelompok Tani;Gudang Jember;Belimbing/Star Fruit ;Buah-Buahan;15000;100;1500000</t>
  </si>
  <si>
    <t>32;03/03/2024 21.13;Kelompok Tani Sentosa;Kelompok Tani;Gudang Jember;Duku/Langsat/Kokosan/Duku ;Buah-Buahan;14000;100;1400000</t>
  </si>
  <si>
    <t>33;04/03/2024 21.13;Danu;Individu;Gudang Bojonegoro;Durian/Durian ;Buah-Buahan;13000;100;1300000</t>
  </si>
  <si>
    <t>34;05/03/2024 21.13;Dani;Individu;Gudang Ngawi;Jambu Air/Water Apple ;Buah-Buahan;12000;100;1200000</t>
  </si>
  <si>
    <t>35;06/03/2024 21.13;Darto;Individu;Gudang Ngawi;Jambu Biji/Guava ;Buah-Buahan;11000;100;1100000</t>
  </si>
  <si>
    <t>36;07/03/2024 21.13;Dafa;Individu;Gudang Lamongan;Jengkol/Jengkol ;Sayuran;10000;100;1000000</t>
  </si>
  <si>
    <t>37;08/03/2024 21.13;Dori;Individu;Gudang Bojonegoro;Jeruk Besar/Pomelo ;Buah-Buahan;9000;100;900000</t>
  </si>
  <si>
    <t>38;09/03/2024 21.13;Dora;Individu;Gudang Ngawi;Jeruk Siam/Keprok/Orange/Tangerine ;Buah-Buahan;8000;100;800000</t>
  </si>
  <si>
    <t>39;10/03/2024 21.13;Kelompok Tani Merdeka ;Kelompok Tani;Gudang Lamongan;Mangga/Mango ;Buah-Buahan;7000;100;700000</t>
  </si>
  <si>
    <t>40;11/03/2024 21.13;Kelompok Tani Merah;Kelompok Tani;Gudang Bojonegoro;Manggis/Mangosteen ;Buah-Buahan;6000;100;600000</t>
  </si>
  <si>
    <t>41;12/03/2024 21.13;Kelompok Tani Putih;Kelompok Tani;Gudang Ngawi;Melinjo/Gnetum/Melinjo ;Buah-Buahan;5000;100;500000</t>
  </si>
  <si>
    <t>42;13/03/2024 21.13;Kelompok Tani Wayang;Kelompok Tani;Gudang Jember;Nangka/Cempedak/Jackfruit ;Sayuran;4000;100;400000</t>
  </si>
  <si>
    <t>43;14/03/2024 21.13;Kelompok Tani Golek;Kelompok Tani;Gudang Jember;Nenas/Pineapple ;Buah-Buahan;3000;100;300000</t>
  </si>
  <si>
    <t>44;14/03/2024 21.13;Angel;Individu;Gudang Jember;Pepaya/Papaya ;Buah-Buahan;2000;100;200000</t>
  </si>
  <si>
    <t>45;14/04/2024 21.13;Anggi;Individu;Gudang Jember;Petai/Twisted Cluster Bean ;Sayuran;1000;100;100000</t>
  </si>
  <si>
    <t>46;14/04/2024 21.13;Anggun;Individu;Gudang Bojonegoro;Pisang/Banana ;Buah-Buahan;15000;100;1500000</t>
  </si>
  <si>
    <t>47;18/04/2024 21.13;Angge;Individu;Gudang Ngawi;Rambutan/Rambutan ;Buah-Buahan;14000;100;1400000</t>
  </si>
  <si>
    <t>48;19/04/2024 21.13;Anggo;Individu;Gudang Lamongan;Salak/Snakefruit ;Buah-Buahan;13000;100;1300000</t>
  </si>
  <si>
    <t>49;20/04/2024 21.13;Anggsu;Individu;Gudang Lamongan;Sawo/Sapodilla/Sawo ;Buah-Buahan;12000;100;1200000</t>
  </si>
  <si>
    <t>50;21/04/2024 21.13;Kelompok Tani Laskar;Kelompok Tani;Gudang Lamongan;Sirsak/Soursop ;Buah-Buahan;11000;100;1100000</t>
  </si>
  <si>
    <t>51;22/04/2024 21.13;Kelompok Tani Wangi;Kelompok Tani;Gudang Lamongan;Sukun/Breadfruit ;Buah-Buahan;10000;100;1000000</t>
  </si>
  <si>
    <t>52;23/04/2024 21.13;Kelompok Tani Indah;Kelompok Tani;Gudang Bojonegoro;Buah Naga/Hylocereus polyrhizus ;Buah-Buahan;9000;100;900000</t>
  </si>
  <si>
    <t>53;24/04/2024 21.13;Darto;Individu;Gudang Jember;Jeruk Lemon/Lemon ;Buah-Buahan;8000;100;800000</t>
  </si>
  <si>
    <t>54;25/04/2024 21.13;Dafa;Individu;Gudang Jember;Lengkeng/Dimocarpus longan ;Buah-Buahan;7000;100;700000</t>
  </si>
  <si>
    <t>55;26/04/2024 21.13;Dori;Individu;Gudang Banyuwangi;Alpukat/Avocado ;Buah-Buahan;6000;100;600000</t>
  </si>
  <si>
    <t>56;27/04/2024 21.13;Darto;Individu;Gudang Tuban ;Anggur/Grape ;Buah-Buahan;5000;100;500000</t>
  </si>
  <si>
    <t>57;28/04/2024 21.13;Dafa;Individu;Gudang Madiun ;Apel/Apple ;Buah-Buahan;4000;100;400000</t>
  </si>
  <si>
    <t>58;29/04/2024 21.13;Dori;Individu;Gudang Nganjuk ;Belimbing/Star Fruit ;Buah-Buahan;3000;100;300000</t>
  </si>
  <si>
    <t>59;30/04/2024 21.13;Angel;Individu;Gudang Banyuwangi;Duku/Langsat/Kokosan/Duku ;Buah-Buahan;2000;100;200000</t>
  </si>
  <si>
    <t>60;01/05/2024 21.13;Anggi;Individu;Gudang Tuban ;Durian/Durian ;Buah-Buahan;1000;100;100000</t>
  </si>
  <si>
    <t>61;01/05/2024 21.13;Anggun;Individu;Gudang Madiun ;Jambu Air/Water Apple ;Buah-Buahan;15000;100;1500000</t>
  </si>
  <si>
    <t>62;01/05/2024 21.13;Kelompok Tani Indah;Kelompok Tani;Gudang Nganjuk ;Jambu Biji/Guava ;Buah-Buahan;14000;100;1400000</t>
  </si>
  <si>
    <t>63;01/05/2024 21.13;Kelompok Tani Citra;Kelompok Tani;Gudang Lamongan;Jengkol/Jengkol ;Sayuran;13000;100;1300000</t>
  </si>
  <si>
    <t>64;01/05/2024 21.13;Kelompok Tani Sentosa;Kelompok Tani;Gudang Bojonegoro;Jeruk Besar/Pomelo ;Buah-Buahan;12000;100;1200000</t>
  </si>
  <si>
    <t>65;06/05/2024 21.13;Kelompok Tani Indah;Kelompok Tani;Gudang Jember;Jeruk Siam/Keprok/Orange/Tangerine ;Buah-Buahan;11000;100;1100000</t>
  </si>
  <si>
    <t>66;07/05/2024 21.13;Kelompok Tani Citra;Kelompok Tani;Gudang Jember;Mangga/Mango ;Buah-Buahan;10000;100;1000000</t>
  </si>
  <si>
    <t>67;08/05/2024 21.13;Kelompok Tani Sentosa;Kelompok Tani;Gudang Bojonegoro;Manggis/Mangosteen ;Buah-Buahan;9000;100;900000</t>
  </si>
  <si>
    <t>68;09/05/2024 21.13;Kelompok Tani Terbaik;Kelompok Tani;Gudang Ngawi;Melinjo/Gnetum/Melinjo ;Buah-Buahan;8000;100;800000</t>
  </si>
  <si>
    <t>69;10/05/2024 21.13;Kelompok Tani Tertinggi;Kelompok Tani;Gudang Ponorogo ;Nangka/Cempedak/Jackfruit ;Sayuran;7000;100;700000</t>
  </si>
  <si>
    <t>70;11/05/2024 21.13;Kelompok Tani Tertanam;Kelompok Tani;Gudang Gresik ;Nenas/Pineapple ;Buah-Buahan;6000;100;600000</t>
  </si>
  <si>
    <t>71;12/05/2024 21.13;Kelompok Tani Termanis;Kelompok Tani;Gudang Lamongan;Pepaya/Papaya ;Buah-Buahan;5000;100;500000</t>
  </si>
  <si>
    <t>72;13/05/2024 21.13;Kelompok Tani Laskar;Kelompok Tani;Gudang Bojonegoro;Petai/Twisted Cluster Bean ;Sayuran;4000;100;400000</t>
  </si>
  <si>
    <t>73;14/05/2024 21.13;Kelompok Tani Wangi;Kelompok Tani;Gudang Jember;Pisang/Banana ;Buah-Buahan;3000;100;300000</t>
  </si>
  <si>
    <t>74;15/05/2024 21.13;Kelompok Tani Indah;Kelompok Tani;Gudang Jember;Rambutan/Rambutan ;Buah-Buahan;2000;100;200000</t>
  </si>
  <si>
    <t>75;15/05/2024 21.13;Kelompok Tani Laskar;Kelompok Tani;Gudang Banyuwangi;Salak/Snakefruit ;Buah-Buahan;1000;100;100000</t>
  </si>
  <si>
    <t>76;15/05/2024 21.13;Kelompok Tani Wangi;Kelompok Tani;Gudang Tuban ;Sawo/Sapodilla/Sawo ;Buah-Buahan;15000;100;1500000</t>
  </si>
  <si>
    <t>77;18/05/2024 21.13;Kelompok Tani Indah;Kelompok Tani;Gudang Madiun ;Sirsak/Soursop ;Buah-Buahan;14000;100;1400000</t>
  </si>
  <si>
    <t>78;19/05/2024 21.13;Kelompok Tani Citra;Kelompok Tani;Gudang Nganjuk ;Sukun/Breadfruit ;Buah-Buahan;13000;100;1300000</t>
  </si>
  <si>
    <t>79;20/05/2024 21.13;Kelompok Tani Sentosa;Kelompok Tani;Gudang Banyuwangi;Buah Naga/Hylocereus polyrhizus ;Buah-Buahan;12000;100;1200000</t>
  </si>
  <si>
    <t>80;21/05/2024 21.13;Darto;Individu;Gudang Tuban ;Jeruk Lemon/Lemon ;Buah-Buahan;11000;100;1100000</t>
  </si>
  <si>
    <t>81;21/05/2024 21.13;Dafa;Individu;Gudang Madiun ;Lengkeng/Dimocarpus longan ;Buah-Buahan;10000;100;1000000</t>
  </si>
  <si>
    <t>82;21/05/2024 21.13;Dori;Individu;Gudang Nganjuk ;Jengkol/Jengkol ;Sayuran;9000;100;900000</t>
  </si>
  <si>
    <t>83;21/05/2024 21.13;Darto;Individu;Gudang Lamongan;Petai/Twisted Cluster Bean ;Sayuran;8000;100;800000</t>
  </si>
  <si>
    <t>84;25/05/2024 21.13;Dafa;Individu;Gudang Bojonegoro;Nangka/Cempedak/Jackfruit ;Sayuran;7000;100;700000</t>
  </si>
  <si>
    <t>85;26/05/2024 21.13;Dori;Individu;Gudang Jember;Jengkol/Jengkol ;Sayuran;6000;100;600000</t>
  </si>
  <si>
    <t>86;27/05/2024 21.13;Angel;Individu;Gudang Jember;Petai/Twisted Cluster Bean ;Sayuran;5000;100;500000</t>
  </si>
  <si>
    <t>87;28/05/2024 21.13;Anggi;Individu;Gudang Bojonegoro;Nangka/Cempedak/Jackfruit ;Sayuran;4000;100;400000</t>
  </si>
  <si>
    <t>88;29/05/2024 21.13;Anggun;Individu;Gudang Ngawi;Jengkol/Jengkol ;Sayuran;3000;100;300000</t>
  </si>
  <si>
    <t>89;30/05/2024 21.13;Kelompok Tani Indah;Kelompok Tani;Gudang Ponorogo ;Petai/Twisted Cluster Bean ;Sayuran;2000;100;200000</t>
  </si>
  <si>
    <t>90;31/05/2024 21.13;Kelompok Tani Citra;Kelompok Tani;Gudang Gresik ;Nangka/Cempedak/Jackfruit ;Sayuran;1000;100;100000</t>
  </si>
  <si>
    <t>91;01/06/2024 21.13;Kelompok Tani Sentosa;Kelompok Tani;Gudang Nganjuk ;Jengkol/Jengkol ;Sayuran;15000;100;1500000</t>
  </si>
  <si>
    <t>92;02/06/2024 21.13;Kelompok Tani Indah;Kelompok Tani;Gudang Lamongan;Petai/Twisted Cluster Bean ;Sayuran;14000;100;1400000</t>
  </si>
  <si>
    <t>93;03/06/2024 21.13;Kelompok Tani Citra;Kelompok Tani;Gudang Bojonegoro;Pisang/Banana ;Buah-Buahan;13000;100;1300000</t>
  </si>
  <si>
    <t>94;04/06/2024 21.13;Angel;Individu;Gudang Jember;Rambutan/Rambutan ;Buah-Buahan;12000;100;1200000</t>
  </si>
  <si>
    <t>95;05/06/2024 21.13;Anggi;Individu;Gudang Jember;Salak/Snakefruit ;Buah-Buahan;11000;100;1100000</t>
  </si>
  <si>
    <t>96;06/06/2024 21.13;Anggun;Individu;Gudang Bojonegoro;Sawo/Sapodilla/Sawo ;Buah-Buahan;10000;100;1000000</t>
  </si>
  <si>
    <t>97;07/06/2024 21.13;Angge;Individu;Gudang Ngawi;Pisang/Banana ;Buah-Buahan;9000;100;900000</t>
  </si>
  <si>
    <t>98;08/06/2024 21.13;Anggo;Individu;Gudang Ponorogo ;Rambutan/Rambutan ;Buah-Buahan;8000;100;800000</t>
  </si>
  <si>
    <t>99;09/06/2024 21.13;Anggsu;Individu;Gudang Gresik ;Salak/Snakefruit ;Buah-Buahan;15000;100;1500000</t>
  </si>
  <si>
    <t>Purchase_ID</t>
  </si>
  <si>
    <t>Supplier_Type</t>
  </si>
  <si>
    <t>Warehouse_Name</t>
  </si>
  <si>
    <t>Item_Name</t>
  </si>
  <si>
    <t>Item_Type</t>
  </si>
  <si>
    <t>Item_Price</t>
  </si>
  <si>
    <t>Item_Qty</t>
  </si>
  <si>
    <t>Item_Total</t>
  </si>
  <si>
    <t xml:space="preserve">Kelompok Tani Merdeka </t>
  </si>
  <si>
    <t>Kelompok Tani</t>
  </si>
  <si>
    <t>Gudang Ngawi</t>
  </si>
  <si>
    <t>Alpukat/Avocado </t>
  </si>
  <si>
    <t>Buah-Buahan</t>
  </si>
  <si>
    <t>Kelompok Tani Merah</t>
  </si>
  <si>
    <t>Gudang Lamongan</t>
  </si>
  <si>
    <t>Anggur/Grape </t>
  </si>
  <si>
    <t>Kelompok Tani Putih</t>
  </si>
  <si>
    <t>Gudang Bojonegoro</t>
  </si>
  <si>
    <t>Apel/Apple </t>
  </si>
  <si>
    <t>Kelompok Tani Wayang</t>
  </si>
  <si>
    <t>Belimbing/Star Fruit </t>
  </si>
  <si>
    <t>Danu</t>
  </si>
  <si>
    <t>Individu</t>
  </si>
  <si>
    <t>Duku/Langsat/Kokosan/Duku </t>
  </si>
  <si>
    <t>Dani</t>
  </si>
  <si>
    <t>Durian/Durian </t>
  </si>
  <si>
    <t>Darto</t>
  </si>
  <si>
    <t>Jambu Air/Water Apple </t>
  </si>
  <si>
    <t>Dafa</t>
  </si>
  <si>
    <t>Gudang Jember</t>
  </si>
  <si>
    <t>Jambu Biji/Guava </t>
  </si>
  <si>
    <t>Dori</t>
  </si>
  <si>
    <t>Jengkol/Jengkol </t>
  </si>
  <si>
    <t>Sayuran</t>
  </si>
  <si>
    <t>Dora</t>
  </si>
  <si>
    <t>Jeruk Besar/Pomelo </t>
  </si>
  <si>
    <t>Jeruk Siam/Keprok/Orange/Tangerine </t>
  </si>
  <si>
    <t>Mangga/Mango </t>
  </si>
  <si>
    <t>Manggis/Mangosteen </t>
  </si>
  <si>
    <t>Melinjo/Gnetum/Melinjo </t>
  </si>
  <si>
    <t>Kelompok Tani Golek</t>
  </si>
  <si>
    <t>Nangka/Cempedak/Jackfruit </t>
  </si>
  <si>
    <t>Nenas/Pineapple </t>
  </si>
  <si>
    <t>Pepaya/Papaya </t>
  </si>
  <si>
    <t>Petai/Twisted Cluster Bean </t>
  </si>
  <si>
    <t>Pisang/Banana </t>
  </si>
  <si>
    <t>Rambutan/Rambutan </t>
  </si>
  <si>
    <t>Gudang Banyuwangi</t>
  </si>
  <si>
    <t>Salak/Snakefruit </t>
  </si>
  <si>
    <t xml:space="preserve">Gudang Tuban </t>
  </si>
  <si>
    <t>Sawo/Sapodilla/Sawo </t>
  </si>
  <si>
    <t xml:space="preserve">Gudang Madiun </t>
  </si>
  <si>
    <t>Sirsak/Soursop </t>
  </si>
  <si>
    <t xml:space="preserve">Gudang Nganjuk </t>
  </si>
  <si>
    <t>Sukun/Breadfruit </t>
  </si>
  <si>
    <t>Buah Naga/Hylocereus polyrhizus </t>
  </si>
  <si>
    <t>Jeruk Lemon/Lemon </t>
  </si>
  <si>
    <t>Lengkeng/Dimocarpus longan </t>
  </si>
  <si>
    <t>Kelompok Tani Laskar</t>
  </si>
  <si>
    <t>Kelompok Tani Wangi</t>
  </si>
  <si>
    <t>Kelompok Tani Indah</t>
  </si>
  <si>
    <t>Kelompok Tani Citra</t>
  </si>
  <si>
    <t>Kelompok Tani Sentosa</t>
  </si>
  <si>
    <t>Angel</t>
  </si>
  <si>
    <t>Anggi</t>
  </si>
  <si>
    <t>Anggun</t>
  </si>
  <si>
    <t>Angge</t>
  </si>
  <si>
    <t>Anggo</t>
  </si>
  <si>
    <t>Anggsu</t>
  </si>
  <si>
    <t>Kelompok Tani Terbaik</t>
  </si>
  <si>
    <t>Kelompok Tani Tertinggi</t>
  </si>
  <si>
    <t xml:space="preserve">Gudang Ponorogo </t>
  </si>
  <si>
    <t>Kelompok Tani Tertanam</t>
  </si>
  <si>
    <t xml:space="preserve">Gudang Gresik </t>
  </si>
  <si>
    <t>Kelompok Tani Termanis</t>
  </si>
  <si>
    <t>Product ID</t>
  </si>
  <si>
    <t>Time</t>
  </si>
  <si>
    <t>Total</t>
  </si>
  <si>
    <t>Purchase_ID;Purchase_Date;Customer_Name;Supplier_Type;Warehouse_Name;Item_Name;Item_Type;Item_Price;Item_Qty;Item_Total</t>
  </si>
  <si>
    <t>Customer_Name</t>
  </si>
  <si>
    <t>INVOICE</t>
  </si>
  <si>
    <t>Issue Date</t>
  </si>
  <si>
    <t>Date</t>
  </si>
  <si>
    <t xml:space="preserve">Purchase Date </t>
  </si>
  <si>
    <t>Price</t>
  </si>
  <si>
    <t>QTY</t>
  </si>
  <si>
    <t>Supplier Type</t>
  </si>
  <si>
    <t>Item Type</t>
  </si>
  <si>
    <t>Customer Name</t>
  </si>
  <si>
    <t>BILL TO:</t>
  </si>
  <si>
    <t>Subtotal</t>
  </si>
  <si>
    <t>Tax</t>
  </si>
  <si>
    <t>Description/Item Name</t>
  </si>
  <si>
    <t xml:space="preserve">Total Due </t>
  </si>
  <si>
    <t xml:space="preserve">NB: ITEMS SENT OUT UNDER GOOD CONDITIONS WILL NOT BE ACCEPTED IF DAMAGED,CHECK ALL ITEM BEFORE LEAVING THE WAREHOUSE.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</si>
</sst>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₦-46A]#,##0.00"/>
    <numFmt numFmtId="165" formatCode="[$-F400]h:mm:ss\ AM/PM"/>
    <numFmt numFmtId="166" formatCode="[$-F800]dddd\,\ mmmm\ dd\,\ 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2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right"/>
    </xf>
    <xf numFmtId="20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14" fontId="19" fillId="0" borderId="0" xfId="0" applyNumberFormat="1" applyFont="1"/>
    <xf numFmtId="166" fontId="18" fillId="0" borderId="0" xfId="0" applyNumberFormat="1" applyFont="1"/>
    <xf numFmtId="165" fontId="18" fillId="0" borderId="0" xfId="0" applyNumberFormat="1" applyFont="1"/>
    <xf numFmtId="0" fontId="18" fillId="0" borderId="0" xfId="0" applyFont="1" applyAlignment="1">
      <alignment horizontal="center"/>
    </xf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5" formatCode="h:mm"/>
    </dxf>
    <dxf>
      <numFmt numFmtId="19" formatCode="m/d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A02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38100</xdr:rowOff>
    </xdr:from>
    <xdr:to>
      <xdr:col>11</xdr:col>
      <xdr:colOff>1752600</xdr:colOff>
      <xdr:row>2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A0B8441-E804-7AC1-9931-A273B0832033}"/>
            </a:ext>
          </a:extLst>
        </xdr:cNvPr>
        <xdr:cNvSpPr/>
      </xdr:nvSpPr>
      <xdr:spPr>
        <a:xfrm>
          <a:off x="2714625" y="38100"/>
          <a:ext cx="6229350" cy="352425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solidFill>
                <a:schemeClr val="accent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IOTB</a:t>
          </a:r>
          <a:r>
            <a:rPr lang="en-US" sz="1800" baseline="0">
              <a:solidFill>
                <a:schemeClr val="accent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TECH WAREHOUSES </a:t>
          </a:r>
          <a:endParaRPr lang="en-US" sz="1800">
            <a:solidFill>
              <a:schemeClr val="accent5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266700</xdr:colOff>
      <xdr:row>3</xdr:row>
      <xdr:rowOff>104775</xdr:rowOff>
    </xdr:from>
    <xdr:to>
      <xdr:col>7</xdr:col>
      <xdr:colOff>590550</xdr:colOff>
      <xdr:row>3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0FF8CA8-A9AC-9D1A-297D-6A6454E51EED}"/>
            </a:ext>
          </a:extLst>
        </xdr:cNvPr>
        <xdr:cNvCxnSpPr/>
      </xdr:nvCxnSpPr>
      <xdr:spPr>
        <a:xfrm>
          <a:off x="876300" y="685800"/>
          <a:ext cx="398145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733425</xdr:colOff>
      <xdr:row>3</xdr:row>
      <xdr:rowOff>76200</xdr:rowOff>
    </xdr:from>
    <xdr:to>
      <xdr:col>12</xdr:col>
      <xdr:colOff>361950</xdr:colOff>
      <xdr:row>3</xdr:row>
      <xdr:rowOff>114300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6ADEA61-F485-7F05-8556-14F564219497}"/>
            </a:ext>
          </a:extLst>
        </xdr:cNvPr>
        <xdr:cNvCxnSpPr/>
      </xdr:nvCxnSpPr>
      <xdr:spPr>
        <a:xfrm flipV="1">
          <a:off x="5610225" y="657225"/>
          <a:ext cx="2486025" cy="381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7</xdr:row>
      <xdr:rowOff>76200</xdr:rowOff>
    </xdr:from>
    <xdr:to>
      <xdr:col>12</xdr:col>
      <xdr:colOff>523875</xdr:colOff>
      <xdr:row>7</xdr:row>
      <xdr:rowOff>142875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215BFEE-57DC-1781-9830-2F6CA9F5AB28}"/>
            </a:ext>
          </a:extLst>
        </xdr:cNvPr>
        <xdr:cNvCxnSpPr/>
      </xdr:nvCxnSpPr>
      <xdr:spPr>
        <a:xfrm flipV="1">
          <a:off x="47625" y="1600200"/>
          <a:ext cx="9458325" cy="66675"/>
        </a:xfrm>
        <a:prstGeom prst="line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15</xdr:row>
      <xdr:rowOff>76200</xdr:rowOff>
    </xdr:from>
    <xdr:to>
      <xdr:col>13</xdr:col>
      <xdr:colOff>66675</xdr:colOff>
      <xdr:row>15</xdr:row>
      <xdr:rowOff>104775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15CA3C7-E450-DC7D-AAAA-344342B795AF}"/>
            </a:ext>
          </a:extLst>
        </xdr:cNvPr>
        <xdr:cNvCxnSpPr/>
      </xdr:nvCxnSpPr>
      <xdr:spPr>
        <a:xfrm flipV="1">
          <a:off x="57150" y="3200400"/>
          <a:ext cx="9667875" cy="28575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512097</xdr:colOff>
      <xdr:row>18</xdr:row>
      <xdr:rowOff>174113</xdr:rowOff>
    </xdr:from>
    <xdr:to>
      <xdr:col>12</xdr:col>
      <xdr:colOff>112661</xdr:colOff>
      <xdr:row>18</xdr:row>
      <xdr:rowOff>184355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60FED4E-6FBA-8517-0D1C-61881BCE3410}"/>
            </a:ext>
          </a:extLst>
        </xdr:cNvPr>
        <xdr:cNvCxnSpPr/>
      </xdr:nvCxnSpPr>
      <xdr:spPr>
        <a:xfrm flipV="1">
          <a:off x="6513871" y="3984113"/>
          <a:ext cx="2683387" cy="102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60C8C8-7FE5-4889-BB85-6B150E677B26}" name="Table4" displayName="Table4" ref="A1:K100" totalsRowShown="0">
  <autoFilter ref="A1:K100" xr:uid="{6360C8C8-7FE5-4889-BB85-6B150E677B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ABF2C70-DA01-4046-95F9-07417501C7C0}" name="Purchase_ID"/>
    <tableColumn id="2" xr3:uid="{632A2D2E-EA22-4D6C-8D17-10651624B44A}" name="Purchase Date " dataDxfId="1"/>
    <tableColumn id="3" xr3:uid="{66B84010-4C3F-46AC-A943-040ACDB34DB0}" name="Time" dataDxfId="0"/>
    <tableColumn id="4" xr3:uid="{46A582F2-DBB0-4D5F-9C35-2D056C6989D0}" name="Customer_Name"/>
    <tableColumn id="5" xr3:uid="{FFF1F84F-5F4A-468B-AD4F-3069CBB9C31F}" name="Supplier_Type"/>
    <tableColumn id="6" xr3:uid="{BA28C477-5A49-4108-AEF5-947D450C67C3}" name="Warehouse_Name"/>
    <tableColumn id="7" xr3:uid="{8AE5775A-F83D-48ED-8275-055484A83106}" name="Item_Name"/>
    <tableColumn id="8" xr3:uid="{6D7A3F32-784B-4599-AFB3-173067A091E8}" name="Item_Type"/>
    <tableColumn id="9" xr3:uid="{4B7DAEE1-0DD5-4FC0-81AD-642E44BBE2E8}" name="Item_Price"/>
    <tableColumn id="10" xr3:uid="{3D4E7199-2F63-48CC-8884-83B7AE57E9A7}" name="Item_Qty"/>
    <tableColumn id="11" xr3:uid="{C85BF538-1432-41C1-AAED-14E846EDD677}" name="Item_Total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DF50-6644-4352-B7BA-82408E3C44A1}">
  <dimension ref="A1:A100"/>
  <sheetViews>
    <sheetView zoomScale="89" zoomScaleNormal="89" workbookViewId="0">
      <selection activeCell="A2" sqref="A2"/>
    </sheetView>
  </sheetViews>
  <sheetFormatPr defaultRowHeight="15" x14ac:dyDescent="0.25"/>
  <sheetData>
    <row r="1" spans="1:1" x14ac:dyDescent="0.25">
      <c r="A1" t="s">
        <v>177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F993-E30B-4A68-9FBB-6F5988C142A0}">
  <dimension ref="A1:K102"/>
  <sheetViews>
    <sheetView tabSelected="1" zoomScale="80" zoomScaleNormal="80" workbookViewId="0">
      <selection activeCell="E130" sqref="E130"/>
    </sheetView>
  </sheetViews>
  <sheetFormatPr defaultColWidth="12" defaultRowHeight="15" x14ac:dyDescent="0.25"/>
  <cols>
    <col min="1" max="1" width="14.28515625" customWidth="1"/>
    <col min="2" max="2" width="16.85546875" style="1" customWidth="1"/>
    <col min="3" max="3" width="8.85546875" customWidth="1"/>
    <col min="4" max="4" width="24.85546875" customWidth="1"/>
    <col min="5" max="5" width="15.85546875" customWidth="1"/>
    <col min="6" max="6" width="19.5703125" customWidth="1"/>
    <col min="7" max="7" width="36.28515625" customWidth="1"/>
    <col min="8" max="8" width="15.28515625" customWidth="1"/>
    <col min="9" max="9" width="12.7109375" customWidth="1"/>
    <col min="11" max="11" width="12.5703125" customWidth="1"/>
  </cols>
  <sheetData>
    <row r="1" spans="1:11" x14ac:dyDescent="0.25">
      <c r="A1" t="s">
        <v>99</v>
      </c>
      <c r="B1" s="1" t="s">
        <v>182</v>
      </c>
      <c r="C1" t="s">
        <v>175</v>
      </c>
      <c r="D1" t="s">
        <v>178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>
        <v>59</v>
      </c>
      <c r="B2" s="1">
        <v>45412</v>
      </c>
      <c r="C2" s="2">
        <v>0.88402777777777775</v>
      </c>
      <c r="D2" t="s">
        <v>162</v>
      </c>
      <c r="E2" t="s">
        <v>121</v>
      </c>
      <c r="F2" t="s">
        <v>146</v>
      </c>
      <c r="G2" t="s">
        <v>122</v>
      </c>
      <c r="H2" t="s">
        <v>111</v>
      </c>
      <c r="I2">
        <v>2000</v>
      </c>
      <c r="J2">
        <v>100</v>
      </c>
      <c r="K2">
        <v>200000</v>
      </c>
    </row>
    <row r="3" spans="1:11" x14ac:dyDescent="0.25">
      <c r="A3">
        <v>44</v>
      </c>
      <c r="B3" s="1">
        <v>45365</v>
      </c>
      <c r="C3" s="2">
        <v>0.88402777777777775</v>
      </c>
      <c r="D3" t="s">
        <v>162</v>
      </c>
      <c r="E3" t="s">
        <v>121</v>
      </c>
      <c r="F3" t="s">
        <v>128</v>
      </c>
      <c r="G3" t="s">
        <v>142</v>
      </c>
      <c r="H3" t="s">
        <v>111</v>
      </c>
      <c r="I3">
        <v>2000</v>
      </c>
      <c r="J3">
        <v>100</v>
      </c>
      <c r="K3">
        <v>200000</v>
      </c>
    </row>
    <row r="4" spans="1:11" x14ac:dyDescent="0.25">
      <c r="A4">
        <v>86</v>
      </c>
      <c r="B4" s="1">
        <v>45439</v>
      </c>
      <c r="C4" s="2">
        <v>0.88402777777777775</v>
      </c>
      <c r="D4" t="s">
        <v>162</v>
      </c>
      <c r="E4" t="s">
        <v>121</v>
      </c>
      <c r="F4" t="s">
        <v>128</v>
      </c>
      <c r="G4" t="s">
        <v>143</v>
      </c>
      <c r="H4" t="s">
        <v>132</v>
      </c>
      <c r="I4">
        <v>5000</v>
      </c>
      <c r="J4">
        <v>100</v>
      </c>
      <c r="K4">
        <v>500000</v>
      </c>
    </row>
    <row r="5" spans="1:11" x14ac:dyDescent="0.25">
      <c r="A5">
        <v>94</v>
      </c>
      <c r="B5" s="1">
        <v>45447</v>
      </c>
      <c r="C5" s="2">
        <v>0.88402777777777775</v>
      </c>
      <c r="D5" t="s">
        <v>162</v>
      </c>
      <c r="E5" t="s">
        <v>121</v>
      </c>
      <c r="F5" t="s">
        <v>128</v>
      </c>
      <c r="G5" t="s">
        <v>145</v>
      </c>
      <c r="H5" t="s">
        <v>111</v>
      </c>
      <c r="I5">
        <v>12000</v>
      </c>
      <c r="J5">
        <v>100</v>
      </c>
      <c r="K5">
        <v>1200000</v>
      </c>
    </row>
    <row r="6" spans="1:11" x14ac:dyDescent="0.25">
      <c r="A6">
        <v>47</v>
      </c>
      <c r="B6" s="1">
        <v>45400</v>
      </c>
      <c r="C6" s="2">
        <v>0.88402777777777775</v>
      </c>
      <c r="D6" t="s">
        <v>165</v>
      </c>
      <c r="E6" t="s">
        <v>121</v>
      </c>
      <c r="F6" t="s">
        <v>109</v>
      </c>
      <c r="G6" t="s">
        <v>145</v>
      </c>
      <c r="H6" t="s">
        <v>111</v>
      </c>
      <c r="I6">
        <v>14000</v>
      </c>
      <c r="J6">
        <v>100</v>
      </c>
      <c r="K6">
        <v>1400000</v>
      </c>
    </row>
    <row r="7" spans="1:11" x14ac:dyDescent="0.25">
      <c r="A7">
        <v>97</v>
      </c>
      <c r="B7" s="1">
        <v>45450</v>
      </c>
      <c r="C7" s="2">
        <v>0.88402777777777775</v>
      </c>
      <c r="D7" t="s">
        <v>165</v>
      </c>
      <c r="E7" t="s">
        <v>121</v>
      </c>
      <c r="F7" t="s">
        <v>109</v>
      </c>
      <c r="G7" t="s">
        <v>144</v>
      </c>
      <c r="H7" t="s">
        <v>111</v>
      </c>
      <c r="I7">
        <v>9000</v>
      </c>
      <c r="J7">
        <v>100</v>
      </c>
      <c r="K7">
        <v>900000</v>
      </c>
    </row>
    <row r="8" spans="1:11" x14ac:dyDescent="0.25">
      <c r="A8">
        <v>87</v>
      </c>
      <c r="B8" s="1">
        <v>45440</v>
      </c>
      <c r="C8" s="2">
        <v>0.88402777777777775</v>
      </c>
      <c r="D8" t="s">
        <v>163</v>
      </c>
      <c r="E8" t="s">
        <v>121</v>
      </c>
      <c r="F8" t="s">
        <v>116</v>
      </c>
      <c r="G8" t="s">
        <v>140</v>
      </c>
      <c r="H8" t="s">
        <v>132</v>
      </c>
      <c r="I8">
        <v>4000</v>
      </c>
      <c r="J8">
        <v>100</v>
      </c>
      <c r="K8">
        <v>400000</v>
      </c>
    </row>
    <row r="9" spans="1:11" x14ac:dyDescent="0.25">
      <c r="A9">
        <v>45</v>
      </c>
      <c r="B9" s="1">
        <v>45396</v>
      </c>
      <c r="C9" s="2">
        <v>0.88402777777777775</v>
      </c>
      <c r="D9" t="s">
        <v>163</v>
      </c>
      <c r="E9" t="s">
        <v>121</v>
      </c>
      <c r="F9" t="s">
        <v>128</v>
      </c>
      <c r="G9" t="s">
        <v>143</v>
      </c>
      <c r="H9" t="s">
        <v>132</v>
      </c>
      <c r="I9">
        <v>1000</v>
      </c>
      <c r="J9">
        <v>100</v>
      </c>
      <c r="K9">
        <v>100000</v>
      </c>
    </row>
    <row r="10" spans="1:11" x14ac:dyDescent="0.25">
      <c r="A10">
        <v>95</v>
      </c>
      <c r="B10" s="1">
        <v>45448</v>
      </c>
      <c r="C10" s="2">
        <v>0.88402777777777775</v>
      </c>
      <c r="D10" t="s">
        <v>163</v>
      </c>
      <c r="E10" t="s">
        <v>121</v>
      </c>
      <c r="F10" t="s">
        <v>128</v>
      </c>
      <c r="G10" t="s">
        <v>147</v>
      </c>
      <c r="H10" t="s">
        <v>111</v>
      </c>
      <c r="I10">
        <v>11000</v>
      </c>
      <c r="J10">
        <v>100</v>
      </c>
      <c r="K10">
        <v>1100000</v>
      </c>
    </row>
    <row r="11" spans="1:11" x14ac:dyDescent="0.25">
      <c r="A11">
        <v>60</v>
      </c>
      <c r="B11" s="1">
        <v>45413</v>
      </c>
      <c r="C11" s="2">
        <v>0.88402777777777775</v>
      </c>
      <c r="D11" t="s">
        <v>163</v>
      </c>
      <c r="E11" t="s">
        <v>121</v>
      </c>
      <c r="F11" t="s">
        <v>148</v>
      </c>
      <c r="G11" t="s">
        <v>124</v>
      </c>
      <c r="H11" t="s">
        <v>111</v>
      </c>
      <c r="I11">
        <v>1000</v>
      </c>
      <c r="J11">
        <v>100</v>
      </c>
      <c r="K11">
        <v>100000</v>
      </c>
    </row>
    <row r="12" spans="1:11" x14ac:dyDescent="0.25">
      <c r="A12">
        <v>48</v>
      </c>
      <c r="B12" s="1">
        <v>45401</v>
      </c>
      <c r="C12" s="2">
        <v>0.88402777777777775</v>
      </c>
      <c r="D12" t="s">
        <v>166</v>
      </c>
      <c r="E12" t="s">
        <v>121</v>
      </c>
      <c r="F12" t="s">
        <v>113</v>
      </c>
      <c r="G12" t="s">
        <v>147</v>
      </c>
      <c r="H12" t="s">
        <v>111</v>
      </c>
      <c r="I12">
        <v>13000</v>
      </c>
      <c r="J12">
        <v>100</v>
      </c>
      <c r="K12">
        <v>1300000</v>
      </c>
    </row>
    <row r="13" spans="1:11" x14ac:dyDescent="0.25">
      <c r="A13">
        <v>98</v>
      </c>
      <c r="B13" s="1">
        <v>45451</v>
      </c>
      <c r="C13" s="2">
        <v>0.88402777777777775</v>
      </c>
      <c r="D13" t="s">
        <v>166</v>
      </c>
      <c r="E13" t="s">
        <v>121</v>
      </c>
      <c r="F13" t="s">
        <v>170</v>
      </c>
      <c r="G13" t="s">
        <v>145</v>
      </c>
      <c r="H13" t="s">
        <v>111</v>
      </c>
      <c r="I13">
        <v>8000</v>
      </c>
      <c r="J13">
        <v>100</v>
      </c>
      <c r="K13">
        <v>800000</v>
      </c>
    </row>
    <row r="14" spans="1:11" x14ac:dyDescent="0.25">
      <c r="A14">
        <v>99</v>
      </c>
      <c r="B14" s="1">
        <v>45452</v>
      </c>
      <c r="C14" s="2">
        <v>0.88402777777777775</v>
      </c>
      <c r="D14" t="s">
        <v>167</v>
      </c>
      <c r="E14" t="s">
        <v>121</v>
      </c>
      <c r="F14" t="s">
        <v>172</v>
      </c>
      <c r="G14" t="s">
        <v>147</v>
      </c>
      <c r="H14" t="s">
        <v>111</v>
      </c>
      <c r="I14">
        <v>15000</v>
      </c>
      <c r="J14">
        <v>100</v>
      </c>
      <c r="K14">
        <v>1500000</v>
      </c>
    </row>
    <row r="15" spans="1:11" x14ac:dyDescent="0.25">
      <c r="A15">
        <v>49</v>
      </c>
      <c r="B15" s="1">
        <v>45402</v>
      </c>
      <c r="C15" s="2">
        <v>0.88402777777777775</v>
      </c>
      <c r="D15" t="s">
        <v>167</v>
      </c>
      <c r="E15" t="s">
        <v>121</v>
      </c>
      <c r="F15" t="s">
        <v>113</v>
      </c>
      <c r="G15" t="s">
        <v>149</v>
      </c>
      <c r="H15" t="s">
        <v>111</v>
      </c>
      <c r="I15">
        <v>12000</v>
      </c>
      <c r="J15">
        <v>100</v>
      </c>
      <c r="K15">
        <v>1200000</v>
      </c>
    </row>
    <row r="16" spans="1:11" x14ac:dyDescent="0.25">
      <c r="A16">
        <v>46</v>
      </c>
      <c r="B16" s="1">
        <v>45396</v>
      </c>
      <c r="C16" s="2">
        <v>0.88402777777777775</v>
      </c>
      <c r="D16" t="s">
        <v>164</v>
      </c>
      <c r="E16" t="s">
        <v>121</v>
      </c>
      <c r="F16" t="s">
        <v>116</v>
      </c>
      <c r="G16" t="s">
        <v>144</v>
      </c>
      <c r="H16" t="s">
        <v>111</v>
      </c>
      <c r="I16">
        <v>15000</v>
      </c>
      <c r="J16">
        <v>100</v>
      </c>
      <c r="K16">
        <v>1500000</v>
      </c>
    </row>
    <row r="17" spans="1:11" x14ac:dyDescent="0.25">
      <c r="A17">
        <v>96</v>
      </c>
      <c r="B17" s="1">
        <v>45449</v>
      </c>
      <c r="C17" s="2">
        <v>0.88402777777777775</v>
      </c>
      <c r="D17" t="s">
        <v>164</v>
      </c>
      <c r="E17" t="s">
        <v>121</v>
      </c>
      <c r="F17" t="s">
        <v>116</v>
      </c>
      <c r="G17" t="s">
        <v>149</v>
      </c>
      <c r="H17" t="s">
        <v>111</v>
      </c>
      <c r="I17">
        <v>10000</v>
      </c>
      <c r="J17">
        <v>100</v>
      </c>
      <c r="K17">
        <v>1000000</v>
      </c>
    </row>
    <row r="18" spans="1:11" x14ac:dyDescent="0.25">
      <c r="A18">
        <v>61</v>
      </c>
      <c r="B18" s="1">
        <v>45413</v>
      </c>
      <c r="C18" s="2">
        <v>0.88402777777777775</v>
      </c>
      <c r="D18" t="s">
        <v>164</v>
      </c>
      <c r="E18" t="s">
        <v>121</v>
      </c>
      <c r="F18" t="s">
        <v>150</v>
      </c>
      <c r="G18" t="s">
        <v>126</v>
      </c>
      <c r="H18" t="s">
        <v>111</v>
      </c>
      <c r="I18">
        <v>15000</v>
      </c>
      <c r="J18">
        <v>100</v>
      </c>
      <c r="K18">
        <v>1500000</v>
      </c>
    </row>
    <row r="19" spans="1:11" x14ac:dyDescent="0.25">
      <c r="A19">
        <v>88</v>
      </c>
      <c r="B19" s="1">
        <v>45441</v>
      </c>
      <c r="C19" s="2">
        <v>0.88402777777777775</v>
      </c>
      <c r="D19" t="s">
        <v>164</v>
      </c>
      <c r="E19" t="s">
        <v>121</v>
      </c>
      <c r="F19" t="s">
        <v>109</v>
      </c>
      <c r="G19" t="s">
        <v>131</v>
      </c>
      <c r="H19" t="s">
        <v>132</v>
      </c>
      <c r="I19">
        <v>3000</v>
      </c>
      <c r="J19">
        <v>100</v>
      </c>
      <c r="K19">
        <v>300000</v>
      </c>
    </row>
    <row r="20" spans="1:11" x14ac:dyDescent="0.25">
      <c r="A20">
        <v>84</v>
      </c>
      <c r="B20" s="1">
        <v>45437</v>
      </c>
      <c r="C20" s="2">
        <v>0.88402777777777775</v>
      </c>
      <c r="D20" t="s">
        <v>127</v>
      </c>
      <c r="E20" t="s">
        <v>121</v>
      </c>
      <c r="F20" t="s">
        <v>116</v>
      </c>
      <c r="G20" t="s">
        <v>140</v>
      </c>
      <c r="H20" t="s">
        <v>132</v>
      </c>
      <c r="I20">
        <v>7000</v>
      </c>
      <c r="J20">
        <v>100</v>
      </c>
      <c r="K20">
        <v>700000</v>
      </c>
    </row>
    <row r="21" spans="1:11" x14ac:dyDescent="0.25">
      <c r="A21">
        <v>8</v>
      </c>
      <c r="B21" s="1">
        <v>45299</v>
      </c>
      <c r="C21" s="2">
        <v>0.88402777777777775</v>
      </c>
      <c r="D21" t="s">
        <v>127</v>
      </c>
      <c r="E21" t="s">
        <v>121</v>
      </c>
      <c r="F21" t="s">
        <v>128</v>
      </c>
      <c r="G21" t="s">
        <v>129</v>
      </c>
      <c r="H21" t="s">
        <v>111</v>
      </c>
      <c r="I21">
        <v>8000</v>
      </c>
      <c r="J21">
        <v>100</v>
      </c>
      <c r="K21">
        <v>800000</v>
      </c>
    </row>
    <row r="22" spans="1:11" x14ac:dyDescent="0.25">
      <c r="A22">
        <v>19</v>
      </c>
      <c r="B22" s="1">
        <v>45341</v>
      </c>
      <c r="C22" s="2">
        <v>0.88402777777777775</v>
      </c>
      <c r="D22" t="s">
        <v>127</v>
      </c>
      <c r="E22" t="s">
        <v>121</v>
      </c>
      <c r="F22" t="s">
        <v>128</v>
      </c>
      <c r="G22" t="s">
        <v>144</v>
      </c>
      <c r="H22" t="s">
        <v>111</v>
      </c>
      <c r="I22">
        <v>12000</v>
      </c>
      <c r="J22">
        <v>100</v>
      </c>
      <c r="K22">
        <v>1200000</v>
      </c>
    </row>
    <row r="23" spans="1:11" x14ac:dyDescent="0.25">
      <c r="A23">
        <v>54</v>
      </c>
      <c r="B23" s="1">
        <v>45407</v>
      </c>
      <c r="C23" s="2">
        <v>0.88402777777777775</v>
      </c>
      <c r="D23" t="s">
        <v>127</v>
      </c>
      <c r="E23" t="s">
        <v>121</v>
      </c>
      <c r="F23" t="s">
        <v>128</v>
      </c>
      <c r="G23" t="s">
        <v>156</v>
      </c>
      <c r="H23" t="s">
        <v>111</v>
      </c>
      <c r="I23">
        <v>7000</v>
      </c>
      <c r="J23">
        <v>100</v>
      </c>
      <c r="K23">
        <v>700000</v>
      </c>
    </row>
    <row r="24" spans="1:11" x14ac:dyDescent="0.25">
      <c r="A24">
        <v>36</v>
      </c>
      <c r="B24" s="1">
        <v>45358</v>
      </c>
      <c r="C24" s="2">
        <v>0.88402777777777775</v>
      </c>
      <c r="D24" t="s">
        <v>127</v>
      </c>
      <c r="E24" t="s">
        <v>121</v>
      </c>
      <c r="F24" t="s">
        <v>113</v>
      </c>
      <c r="G24" t="s">
        <v>131</v>
      </c>
      <c r="H24" t="s">
        <v>132</v>
      </c>
      <c r="I24">
        <v>10000</v>
      </c>
      <c r="J24">
        <v>100</v>
      </c>
      <c r="K24">
        <v>1000000</v>
      </c>
    </row>
    <row r="25" spans="1:11" x14ac:dyDescent="0.25">
      <c r="A25">
        <v>57</v>
      </c>
      <c r="B25" s="1">
        <v>45410</v>
      </c>
      <c r="C25" s="2">
        <v>0.88402777777777775</v>
      </c>
      <c r="D25" t="s">
        <v>127</v>
      </c>
      <c r="E25" t="s">
        <v>121</v>
      </c>
      <c r="F25" t="s">
        <v>150</v>
      </c>
      <c r="G25" t="s">
        <v>117</v>
      </c>
      <c r="H25" t="s">
        <v>111</v>
      </c>
      <c r="I25">
        <v>4000</v>
      </c>
      <c r="J25">
        <v>100</v>
      </c>
      <c r="K25">
        <v>400000</v>
      </c>
    </row>
    <row r="26" spans="1:11" x14ac:dyDescent="0.25">
      <c r="A26">
        <v>81</v>
      </c>
      <c r="B26" s="1">
        <v>45433</v>
      </c>
      <c r="C26" s="2">
        <v>0.88402777777777775</v>
      </c>
      <c r="D26" t="s">
        <v>127</v>
      </c>
      <c r="E26" t="s">
        <v>121</v>
      </c>
      <c r="F26" t="s">
        <v>150</v>
      </c>
      <c r="G26" t="s">
        <v>156</v>
      </c>
      <c r="H26" t="s">
        <v>111</v>
      </c>
      <c r="I26">
        <v>10000</v>
      </c>
      <c r="J26">
        <v>100</v>
      </c>
      <c r="K26">
        <v>1000000</v>
      </c>
    </row>
    <row r="27" spans="1:11" x14ac:dyDescent="0.25">
      <c r="A27">
        <v>6</v>
      </c>
      <c r="B27" s="1">
        <v>45297</v>
      </c>
      <c r="C27" s="2">
        <v>0.88402777777777775</v>
      </c>
      <c r="D27" t="s">
        <v>123</v>
      </c>
      <c r="E27" t="s">
        <v>121</v>
      </c>
      <c r="F27" t="s">
        <v>116</v>
      </c>
      <c r="G27" t="s">
        <v>124</v>
      </c>
      <c r="H27" t="s">
        <v>111</v>
      </c>
      <c r="I27">
        <v>10000</v>
      </c>
      <c r="J27">
        <v>100</v>
      </c>
      <c r="K27">
        <v>1000000</v>
      </c>
    </row>
    <row r="28" spans="1:11" x14ac:dyDescent="0.25">
      <c r="A28">
        <v>17</v>
      </c>
      <c r="B28" s="1">
        <v>45339</v>
      </c>
      <c r="C28" s="2">
        <v>0.88402777777777775</v>
      </c>
      <c r="D28" t="s">
        <v>123</v>
      </c>
      <c r="E28" t="s">
        <v>121</v>
      </c>
      <c r="F28" t="s">
        <v>113</v>
      </c>
      <c r="G28" t="s">
        <v>142</v>
      </c>
      <c r="H28" t="s">
        <v>111</v>
      </c>
      <c r="I28">
        <v>14000</v>
      </c>
      <c r="J28">
        <v>100</v>
      </c>
      <c r="K28">
        <v>1400000</v>
      </c>
    </row>
    <row r="29" spans="1:11" x14ac:dyDescent="0.25">
      <c r="A29">
        <v>34</v>
      </c>
      <c r="B29" s="1">
        <v>45356</v>
      </c>
      <c r="C29" s="2">
        <v>0.88402777777777775</v>
      </c>
      <c r="D29" t="s">
        <v>123</v>
      </c>
      <c r="E29" t="s">
        <v>121</v>
      </c>
      <c r="F29" t="s">
        <v>109</v>
      </c>
      <c r="G29" t="s">
        <v>126</v>
      </c>
      <c r="H29" t="s">
        <v>111</v>
      </c>
      <c r="I29">
        <v>12000</v>
      </c>
      <c r="J29">
        <v>100</v>
      </c>
      <c r="K29">
        <v>1200000</v>
      </c>
    </row>
    <row r="30" spans="1:11" x14ac:dyDescent="0.25">
      <c r="A30">
        <v>26</v>
      </c>
      <c r="B30" s="1">
        <v>45348</v>
      </c>
      <c r="C30" s="2">
        <v>0.88402777777777775</v>
      </c>
      <c r="D30" t="s">
        <v>123</v>
      </c>
      <c r="E30" t="s">
        <v>121</v>
      </c>
      <c r="F30" t="s">
        <v>148</v>
      </c>
      <c r="G30" t="s">
        <v>155</v>
      </c>
      <c r="H30" t="s">
        <v>111</v>
      </c>
      <c r="I30">
        <v>5000</v>
      </c>
      <c r="J30">
        <v>100</v>
      </c>
      <c r="K30">
        <v>500000</v>
      </c>
    </row>
    <row r="31" spans="1:11" x14ac:dyDescent="0.25">
      <c r="A31">
        <v>25</v>
      </c>
      <c r="B31" s="1">
        <v>45347</v>
      </c>
      <c r="C31" s="2">
        <v>0.88402777777777775</v>
      </c>
      <c r="D31" t="s">
        <v>120</v>
      </c>
      <c r="E31" t="s">
        <v>121</v>
      </c>
      <c r="F31" t="s">
        <v>146</v>
      </c>
      <c r="G31" t="s">
        <v>154</v>
      </c>
      <c r="H31" t="s">
        <v>111</v>
      </c>
      <c r="I31">
        <v>6000</v>
      </c>
      <c r="J31">
        <v>100</v>
      </c>
      <c r="K31">
        <v>600000</v>
      </c>
    </row>
    <row r="32" spans="1:11" x14ac:dyDescent="0.25">
      <c r="A32">
        <v>33</v>
      </c>
      <c r="B32" s="1">
        <v>45355</v>
      </c>
      <c r="C32" s="2">
        <v>0.88402777777777775</v>
      </c>
      <c r="D32" t="s">
        <v>120</v>
      </c>
      <c r="E32" t="s">
        <v>121</v>
      </c>
      <c r="F32" t="s">
        <v>116</v>
      </c>
      <c r="G32" t="s">
        <v>124</v>
      </c>
      <c r="H32" t="s">
        <v>111</v>
      </c>
      <c r="I32">
        <v>13000</v>
      </c>
      <c r="J32">
        <v>100</v>
      </c>
      <c r="K32">
        <v>1300000</v>
      </c>
    </row>
    <row r="33" spans="1:11" x14ac:dyDescent="0.25">
      <c r="A33">
        <v>5</v>
      </c>
      <c r="B33" s="1">
        <v>45296</v>
      </c>
      <c r="C33" s="2">
        <v>0.88402777777777775</v>
      </c>
      <c r="D33" t="s">
        <v>120</v>
      </c>
      <c r="E33" t="s">
        <v>121</v>
      </c>
      <c r="F33" t="s">
        <v>113</v>
      </c>
      <c r="G33" t="s">
        <v>122</v>
      </c>
      <c r="H33" t="s">
        <v>111</v>
      </c>
      <c r="I33">
        <v>11000</v>
      </c>
      <c r="J33">
        <v>100</v>
      </c>
      <c r="K33">
        <v>1100000</v>
      </c>
    </row>
    <row r="34" spans="1:11" x14ac:dyDescent="0.25">
      <c r="A34">
        <v>16</v>
      </c>
      <c r="B34" s="1">
        <v>45338</v>
      </c>
      <c r="C34" s="2">
        <v>0.88402777777777775</v>
      </c>
      <c r="D34" t="s">
        <v>120</v>
      </c>
      <c r="E34" t="s">
        <v>121</v>
      </c>
      <c r="F34" t="s">
        <v>113</v>
      </c>
      <c r="G34" t="s">
        <v>141</v>
      </c>
      <c r="H34" t="s">
        <v>111</v>
      </c>
      <c r="I34">
        <v>15000</v>
      </c>
      <c r="J34">
        <v>100</v>
      </c>
      <c r="K34">
        <v>1500000</v>
      </c>
    </row>
    <row r="35" spans="1:11" x14ac:dyDescent="0.25">
      <c r="A35">
        <v>18</v>
      </c>
      <c r="B35" s="1">
        <v>45340</v>
      </c>
      <c r="C35" s="2">
        <v>0.88402777777777775</v>
      </c>
      <c r="D35" t="s">
        <v>125</v>
      </c>
      <c r="E35" t="s">
        <v>121</v>
      </c>
      <c r="F35" t="s">
        <v>116</v>
      </c>
      <c r="G35" t="s">
        <v>143</v>
      </c>
      <c r="H35" t="s">
        <v>132</v>
      </c>
      <c r="I35">
        <v>13000</v>
      </c>
      <c r="J35">
        <v>100</v>
      </c>
      <c r="K35">
        <v>1300000</v>
      </c>
    </row>
    <row r="36" spans="1:11" x14ac:dyDescent="0.25">
      <c r="A36">
        <v>53</v>
      </c>
      <c r="B36" s="1">
        <v>45406</v>
      </c>
      <c r="C36" s="2">
        <v>0.88402777777777775</v>
      </c>
      <c r="D36" t="s">
        <v>125</v>
      </c>
      <c r="E36" t="s">
        <v>121</v>
      </c>
      <c r="F36" t="s">
        <v>128</v>
      </c>
      <c r="G36" t="s">
        <v>155</v>
      </c>
      <c r="H36" t="s">
        <v>111</v>
      </c>
      <c r="I36">
        <v>8000</v>
      </c>
      <c r="J36">
        <v>100</v>
      </c>
      <c r="K36">
        <v>800000</v>
      </c>
    </row>
    <row r="37" spans="1:11" x14ac:dyDescent="0.25">
      <c r="A37">
        <v>83</v>
      </c>
      <c r="B37" s="1">
        <v>45433</v>
      </c>
      <c r="C37" s="2">
        <v>0.88402777777777775</v>
      </c>
      <c r="D37" t="s">
        <v>125</v>
      </c>
      <c r="E37" t="s">
        <v>121</v>
      </c>
      <c r="F37" t="s">
        <v>113</v>
      </c>
      <c r="G37" t="s">
        <v>143</v>
      </c>
      <c r="H37" t="s">
        <v>132</v>
      </c>
      <c r="I37">
        <v>8000</v>
      </c>
      <c r="J37">
        <v>100</v>
      </c>
      <c r="K37">
        <v>800000</v>
      </c>
    </row>
    <row r="38" spans="1:11" x14ac:dyDescent="0.25">
      <c r="A38">
        <v>27</v>
      </c>
      <c r="B38" s="1">
        <v>45349</v>
      </c>
      <c r="C38" s="2">
        <v>0.88402777777777775</v>
      </c>
      <c r="D38" t="s">
        <v>125</v>
      </c>
      <c r="E38" t="s">
        <v>121</v>
      </c>
      <c r="F38" t="s">
        <v>150</v>
      </c>
      <c r="G38" t="s">
        <v>156</v>
      </c>
      <c r="H38" t="s">
        <v>111</v>
      </c>
      <c r="I38">
        <v>4000</v>
      </c>
      <c r="J38">
        <v>100</v>
      </c>
      <c r="K38">
        <v>400000</v>
      </c>
    </row>
    <row r="39" spans="1:11" x14ac:dyDescent="0.25">
      <c r="A39">
        <v>7</v>
      </c>
      <c r="B39" s="1">
        <v>45298</v>
      </c>
      <c r="C39" s="2">
        <v>0.88402777777777775</v>
      </c>
      <c r="D39" t="s">
        <v>125</v>
      </c>
      <c r="E39" t="s">
        <v>121</v>
      </c>
      <c r="F39" t="s">
        <v>109</v>
      </c>
      <c r="G39" t="s">
        <v>126</v>
      </c>
      <c r="H39" t="s">
        <v>111</v>
      </c>
      <c r="I39">
        <v>9000</v>
      </c>
      <c r="J39">
        <v>100</v>
      </c>
      <c r="K39">
        <v>900000</v>
      </c>
    </row>
    <row r="40" spans="1:11" x14ac:dyDescent="0.25">
      <c r="A40">
        <v>35</v>
      </c>
      <c r="B40" s="1">
        <v>45357</v>
      </c>
      <c r="C40" s="2">
        <v>0.88402777777777775</v>
      </c>
      <c r="D40" t="s">
        <v>125</v>
      </c>
      <c r="E40" t="s">
        <v>121</v>
      </c>
      <c r="F40" t="s">
        <v>109</v>
      </c>
      <c r="G40" t="s">
        <v>129</v>
      </c>
      <c r="H40" t="s">
        <v>111</v>
      </c>
      <c r="I40">
        <v>11000</v>
      </c>
      <c r="J40">
        <v>100</v>
      </c>
      <c r="K40">
        <v>1100000</v>
      </c>
    </row>
    <row r="41" spans="1:11" x14ac:dyDescent="0.25">
      <c r="A41">
        <v>56</v>
      </c>
      <c r="B41" s="1">
        <v>45409</v>
      </c>
      <c r="C41" s="2">
        <v>0.88402777777777775</v>
      </c>
      <c r="D41" t="s">
        <v>125</v>
      </c>
      <c r="E41" t="s">
        <v>121</v>
      </c>
      <c r="F41" t="s">
        <v>148</v>
      </c>
      <c r="G41" t="s">
        <v>114</v>
      </c>
      <c r="H41" t="s">
        <v>111</v>
      </c>
      <c r="I41">
        <v>5000</v>
      </c>
      <c r="J41">
        <v>100</v>
      </c>
      <c r="K41">
        <v>500000</v>
      </c>
    </row>
    <row r="42" spans="1:11" x14ac:dyDescent="0.25">
      <c r="A42">
        <v>80</v>
      </c>
      <c r="B42" s="1">
        <v>45433</v>
      </c>
      <c r="C42" s="2">
        <v>0.88402777777777775</v>
      </c>
      <c r="D42" t="s">
        <v>125</v>
      </c>
      <c r="E42" t="s">
        <v>121</v>
      </c>
      <c r="F42" t="s">
        <v>148</v>
      </c>
      <c r="G42" t="s">
        <v>155</v>
      </c>
      <c r="H42" t="s">
        <v>111</v>
      </c>
      <c r="I42">
        <v>11000</v>
      </c>
      <c r="J42">
        <v>100</v>
      </c>
      <c r="K42">
        <v>1100000</v>
      </c>
    </row>
    <row r="43" spans="1:11" x14ac:dyDescent="0.25">
      <c r="A43">
        <v>21</v>
      </c>
      <c r="B43" s="1">
        <v>45343</v>
      </c>
      <c r="C43" s="2">
        <v>0.88402777777777775</v>
      </c>
      <c r="D43" t="s">
        <v>133</v>
      </c>
      <c r="E43" t="s">
        <v>121</v>
      </c>
      <c r="F43" t="s">
        <v>146</v>
      </c>
      <c r="G43" t="s">
        <v>147</v>
      </c>
      <c r="H43" t="s">
        <v>111</v>
      </c>
      <c r="I43">
        <v>10000</v>
      </c>
      <c r="J43">
        <v>100</v>
      </c>
      <c r="K43">
        <v>1000000</v>
      </c>
    </row>
    <row r="44" spans="1:11" x14ac:dyDescent="0.25">
      <c r="A44">
        <v>10</v>
      </c>
      <c r="B44" s="1">
        <v>45301</v>
      </c>
      <c r="C44" s="2">
        <v>0.88402777777777775</v>
      </c>
      <c r="D44" t="s">
        <v>133</v>
      </c>
      <c r="E44" t="s">
        <v>121</v>
      </c>
      <c r="F44" t="s">
        <v>128</v>
      </c>
      <c r="G44" t="s">
        <v>134</v>
      </c>
      <c r="H44" t="s">
        <v>111</v>
      </c>
      <c r="I44">
        <v>6000</v>
      </c>
      <c r="J44">
        <v>100</v>
      </c>
      <c r="K44">
        <v>600000</v>
      </c>
    </row>
    <row r="45" spans="1:11" x14ac:dyDescent="0.25">
      <c r="A45">
        <v>38</v>
      </c>
      <c r="B45" s="1">
        <v>45360</v>
      </c>
      <c r="C45" s="2">
        <v>0.88402777777777775</v>
      </c>
      <c r="D45" t="s">
        <v>133</v>
      </c>
      <c r="E45" t="s">
        <v>121</v>
      </c>
      <c r="F45" t="s">
        <v>109</v>
      </c>
      <c r="G45" t="s">
        <v>135</v>
      </c>
      <c r="H45" t="s">
        <v>111</v>
      </c>
      <c r="I45">
        <v>8000</v>
      </c>
      <c r="J45">
        <v>100</v>
      </c>
      <c r="K45">
        <v>800000</v>
      </c>
    </row>
    <row r="46" spans="1:11" x14ac:dyDescent="0.25">
      <c r="A46">
        <v>55</v>
      </c>
      <c r="B46" s="1">
        <v>45408</v>
      </c>
      <c r="C46" s="2">
        <v>0.88402777777777775</v>
      </c>
      <c r="D46" t="s">
        <v>130</v>
      </c>
      <c r="E46" t="s">
        <v>121</v>
      </c>
      <c r="F46" t="s">
        <v>146</v>
      </c>
      <c r="G46" t="s">
        <v>110</v>
      </c>
      <c r="H46" t="s">
        <v>111</v>
      </c>
      <c r="I46">
        <v>6000</v>
      </c>
      <c r="J46">
        <v>100</v>
      </c>
      <c r="K46">
        <v>600000</v>
      </c>
    </row>
    <row r="47" spans="1:11" x14ac:dyDescent="0.25">
      <c r="A47">
        <v>37</v>
      </c>
      <c r="B47" s="1">
        <v>45359</v>
      </c>
      <c r="C47" s="2">
        <v>0.88402777777777775</v>
      </c>
      <c r="D47" t="s">
        <v>130</v>
      </c>
      <c r="E47" t="s">
        <v>121</v>
      </c>
      <c r="F47" t="s">
        <v>116</v>
      </c>
      <c r="G47" t="s">
        <v>134</v>
      </c>
      <c r="H47" t="s">
        <v>111</v>
      </c>
      <c r="I47">
        <v>9000</v>
      </c>
      <c r="J47">
        <v>100</v>
      </c>
      <c r="K47">
        <v>900000</v>
      </c>
    </row>
    <row r="48" spans="1:11" x14ac:dyDescent="0.25">
      <c r="A48">
        <v>9</v>
      </c>
      <c r="B48" s="1">
        <v>45299</v>
      </c>
      <c r="C48" s="2">
        <v>0.88402777777777775</v>
      </c>
      <c r="D48" t="s">
        <v>130</v>
      </c>
      <c r="E48" t="s">
        <v>121</v>
      </c>
      <c r="F48" t="s">
        <v>128</v>
      </c>
      <c r="G48" t="s">
        <v>131</v>
      </c>
      <c r="H48" t="s">
        <v>132</v>
      </c>
      <c r="I48">
        <v>7000</v>
      </c>
      <c r="J48">
        <v>100</v>
      </c>
      <c r="K48">
        <v>700000</v>
      </c>
    </row>
    <row r="49" spans="1:11" x14ac:dyDescent="0.25">
      <c r="A49">
        <v>20</v>
      </c>
      <c r="B49" s="1">
        <v>45342</v>
      </c>
      <c r="C49" s="2">
        <v>0.88402777777777775</v>
      </c>
      <c r="D49" t="s">
        <v>130</v>
      </c>
      <c r="E49" t="s">
        <v>121</v>
      </c>
      <c r="F49" t="s">
        <v>128</v>
      </c>
      <c r="G49" t="s">
        <v>145</v>
      </c>
      <c r="H49" t="s">
        <v>111</v>
      </c>
      <c r="I49">
        <v>11000</v>
      </c>
      <c r="J49">
        <v>100</v>
      </c>
      <c r="K49">
        <v>1100000</v>
      </c>
    </row>
    <row r="50" spans="1:11" x14ac:dyDescent="0.25">
      <c r="A50">
        <v>85</v>
      </c>
      <c r="B50" s="1">
        <v>45438</v>
      </c>
      <c r="C50" s="2">
        <v>0.88402777777777775</v>
      </c>
      <c r="D50" t="s">
        <v>130</v>
      </c>
      <c r="E50" t="s">
        <v>121</v>
      </c>
      <c r="F50" t="s">
        <v>128</v>
      </c>
      <c r="G50" t="s">
        <v>131</v>
      </c>
      <c r="H50" t="s">
        <v>132</v>
      </c>
      <c r="I50">
        <v>6000</v>
      </c>
      <c r="J50">
        <v>100</v>
      </c>
      <c r="K50">
        <v>600000</v>
      </c>
    </row>
    <row r="51" spans="1:11" x14ac:dyDescent="0.25">
      <c r="A51">
        <v>58</v>
      </c>
      <c r="B51" s="1">
        <v>45411</v>
      </c>
      <c r="C51" s="2">
        <v>0.88402777777777775</v>
      </c>
      <c r="D51" t="s">
        <v>130</v>
      </c>
      <c r="E51" t="s">
        <v>121</v>
      </c>
      <c r="F51" t="s">
        <v>152</v>
      </c>
      <c r="G51" t="s">
        <v>119</v>
      </c>
      <c r="H51" t="s">
        <v>111</v>
      </c>
      <c r="I51">
        <v>3000</v>
      </c>
      <c r="J51">
        <v>100</v>
      </c>
      <c r="K51">
        <v>300000</v>
      </c>
    </row>
    <row r="52" spans="1:11" x14ac:dyDescent="0.25">
      <c r="A52">
        <v>82</v>
      </c>
      <c r="B52" s="1">
        <v>45433</v>
      </c>
      <c r="C52" s="2">
        <v>0.88402777777777775</v>
      </c>
      <c r="D52" t="s">
        <v>130</v>
      </c>
      <c r="E52" t="s">
        <v>121</v>
      </c>
      <c r="F52" t="s">
        <v>152</v>
      </c>
      <c r="G52" t="s">
        <v>131</v>
      </c>
      <c r="H52" t="s">
        <v>132</v>
      </c>
      <c r="I52">
        <v>9000</v>
      </c>
      <c r="J52">
        <v>100</v>
      </c>
      <c r="K52">
        <v>900000</v>
      </c>
    </row>
    <row r="53" spans="1:11" x14ac:dyDescent="0.25">
      <c r="A53">
        <v>93</v>
      </c>
      <c r="B53" s="1">
        <v>45446</v>
      </c>
      <c r="C53" s="2">
        <v>0.88402777777777775</v>
      </c>
      <c r="D53" t="s">
        <v>160</v>
      </c>
      <c r="E53" t="s">
        <v>108</v>
      </c>
      <c r="F53" t="s">
        <v>116</v>
      </c>
      <c r="G53" t="s">
        <v>144</v>
      </c>
      <c r="H53" t="s">
        <v>111</v>
      </c>
      <c r="I53">
        <v>13000</v>
      </c>
      <c r="J53">
        <v>100</v>
      </c>
      <c r="K53">
        <v>1300000</v>
      </c>
    </row>
    <row r="54" spans="1:11" x14ac:dyDescent="0.25">
      <c r="A54">
        <v>90</v>
      </c>
      <c r="B54" s="1">
        <v>45443</v>
      </c>
      <c r="C54" s="2">
        <v>0.88402777777777775</v>
      </c>
      <c r="D54" t="s">
        <v>160</v>
      </c>
      <c r="E54" t="s">
        <v>108</v>
      </c>
      <c r="F54" t="s">
        <v>172</v>
      </c>
      <c r="G54" t="s">
        <v>140</v>
      </c>
      <c r="H54" t="s">
        <v>132</v>
      </c>
      <c r="I54">
        <v>1000</v>
      </c>
      <c r="J54">
        <v>100</v>
      </c>
      <c r="K54">
        <v>100000</v>
      </c>
    </row>
    <row r="55" spans="1:11" x14ac:dyDescent="0.25">
      <c r="A55">
        <v>31</v>
      </c>
      <c r="B55" s="1">
        <v>45353</v>
      </c>
      <c r="C55" s="2">
        <v>0.88402777777777775</v>
      </c>
      <c r="D55" t="s">
        <v>160</v>
      </c>
      <c r="E55" t="s">
        <v>108</v>
      </c>
      <c r="F55" t="s">
        <v>128</v>
      </c>
      <c r="G55" t="s">
        <v>119</v>
      </c>
      <c r="H55" t="s">
        <v>111</v>
      </c>
      <c r="I55">
        <v>15000</v>
      </c>
      <c r="J55">
        <v>100</v>
      </c>
      <c r="K55">
        <v>1500000</v>
      </c>
    </row>
    <row r="56" spans="1:11" x14ac:dyDescent="0.25">
      <c r="A56">
        <v>66</v>
      </c>
      <c r="B56" s="1">
        <v>45419</v>
      </c>
      <c r="C56" s="2">
        <v>0.88402777777777775</v>
      </c>
      <c r="D56" t="s">
        <v>160</v>
      </c>
      <c r="E56" t="s">
        <v>108</v>
      </c>
      <c r="F56" t="s">
        <v>128</v>
      </c>
      <c r="G56" t="s">
        <v>136</v>
      </c>
      <c r="H56" t="s">
        <v>111</v>
      </c>
      <c r="I56">
        <v>10000</v>
      </c>
      <c r="J56">
        <v>100</v>
      </c>
      <c r="K56">
        <v>1000000</v>
      </c>
    </row>
    <row r="57" spans="1:11" x14ac:dyDescent="0.25">
      <c r="A57">
        <v>63</v>
      </c>
      <c r="B57" s="1">
        <v>45413</v>
      </c>
      <c r="C57" s="2">
        <v>0.88402777777777775</v>
      </c>
      <c r="D57" t="s">
        <v>160</v>
      </c>
      <c r="E57" t="s">
        <v>108</v>
      </c>
      <c r="F57" t="s">
        <v>113</v>
      </c>
      <c r="G57" t="s">
        <v>131</v>
      </c>
      <c r="H57" t="s">
        <v>132</v>
      </c>
      <c r="I57">
        <v>13000</v>
      </c>
      <c r="J57">
        <v>100</v>
      </c>
      <c r="K57">
        <v>1300000</v>
      </c>
    </row>
    <row r="58" spans="1:11" x14ac:dyDescent="0.25">
      <c r="A58">
        <v>78</v>
      </c>
      <c r="B58" s="1">
        <v>45431</v>
      </c>
      <c r="C58" s="2">
        <v>0.88402777777777775</v>
      </c>
      <c r="D58" t="s">
        <v>160</v>
      </c>
      <c r="E58" t="s">
        <v>108</v>
      </c>
      <c r="F58" t="s">
        <v>152</v>
      </c>
      <c r="G58" t="s">
        <v>153</v>
      </c>
      <c r="H58" t="s">
        <v>111</v>
      </c>
      <c r="I58">
        <v>13000</v>
      </c>
      <c r="J58">
        <v>100</v>
      </c>
      <c r="K58">
        <v>1300000</v>
      </c>
    </row>
    <row r="59" spans="1:11" x14ac:dyDescent="0.25">
      <c r="A59">
        <v>43</v>
      </c>
      <c r="B59" s="1">
        <v>45365</v>
      </c>
      <c r="C59" s="2">
        <v>0.88402777777777775</v>
      </c>
      <c r="D59" t="s">
        <v>139</v>
      </c>
      <c r="E59" t="s">
        <v>108</v>
      </c>
      <c r="F59" t="s">
        <v>128</v>
      </c>
      <c r="G59" t="s">
        <v>141</v>
      </c>
      <c r="H59" t="s">
        <v>111</v>
      </c>
      <c r="I59">
        <v>3000</v>
      </c>
      <c r="J59">
        <v>100</v>
      </c>
      <c r="K59">
        <v>300000</v>
      </c>
    </row>
    <row r="60" spans="1:11" x14ac:dyDescent="0.25">
      <c r="A60">
        <v>15</v>
      </c>
      <c r="B60" s="1">
        <v>45306</v>
      </c>
      <c r="C60" s="2">
        <v>0.88402777777777775</v>
      </c>
      <c r="D60" t="s">
        <v>139</v>
      </c>
      <c r="E60" t="s">
        <v>108</v>
      </c>
      <c r="F60" t="s">
        <v>113</v>
      </c>
      <c r="G60" t="s">
        <v>140</v>
      </c>
      <c r="H60" t="s">
        <v>132</v>
      </c>
      <c r="I60">
        <v>1000</v>
      </c>
      <c r="J60">
        <v>100</v>
      </c>
      <c r="K60">
        <v>100000</v>
      </c>
    </row>
    <row r="61" spans="1:11" x14ac:dyDescent="0.25">
      <c r="A61">
        <v>30</v>
      </c>
      <c r="B61" s="1">
        <v>45352</v>
      </c>
      <c r="C61" s="2">
        <v>0.88402777777777775</v>
      </c>
      <c r="D61" t="s">
        <v>159</v>
      </c>
      <c r="E61" t="s">
        <v>108</v>
      </c>
      <c r="F61" t="s">
        <v>116</v>
      </c>
      <c r="G61" t="s">
        <v>117</v>
      </c>
      <c r="H61" t="s">
        <v>111</v>
      </c>
      <c r="I61">
        <v>1000</v>
      </c>
      <c r="J61">
        <v>100</v>
      </c>
      <c r="K61">
        <v>100000</v>
      </c>
    </row>
    <row r="62" spans="1:11" x14ac:dyDescent="0.25">
      <c r="A62">
        <v>52</v>
      </c>
      <c r="B62" s="1">
        <v>45405</v>
      </c>
      <c r="C62" s="2">
        <v>0.88402777777777775</v>
      </c>
      <c r="D62" t="s">
        <v>159</v>
      </c>
      <c r="E62" t="s">
        <v>108</v>
      </c>
      <c r="F62" t="s">
        <v>116</v>
      </c>
      <c r="G62" t="s">
        <v>154</v>
      </c>
      <c r="H62" t="s">
        <v>111</v>
      </c>
      <c r="I62">
        <v>9000</v>
      </c>
      <c r="J62">
        <v>100</v>
      </c>
      <c r="K62">
        <v>900000</v>
      </c>
    </row>
    <row r="63" spans="1:11" x14ac:dyDescent="0.25">
      <c r="A63">
        <v>65</v>
      </c>
      <c r="B63" s="1">
        <v>45418</v>
      </c>
      <c r="C63" s="2">
        <v>0.88402777777777775</v>
      </c>
      <c r="D63" t="s">
        <v>159</v>
      </c>
      <c r="E63" t="s">
        <v>108</v>
      </c>
      <c r="F63" t="s">
        <v>128</v>
      </c>
      <c r="G63" t="s">
        <v>135</v>
      </c>
      <c r="H63" t="s">
        <v>111</v>
      </c>
      <c r="I63">
        <v>11000</v>
      </c>
      <c r="J63">
        <v>100</v>
      </c>
      <c r="K63">
        <v>1100000</v>
      </c>
    </row>
    <row r="64" spans="1:11" x14ac:dyDescent="0.25">
      <c r="A64">
        <v>74</v>
      </c>
      <c r="B64" s="1">
        <v>45427</v>
      </c>
      <c r="C64" s="2">
        <v>0.88402777777777775</v>
      </c>
      <c r="D64" t="s">
        <v>159</v>
      </c>
      <c r="E64" t="s">
        <v>108</v>
      </c>
      <c r="F64" t="s">
        <v>128</v>
      </c>
      <c r="G64" t="s">
        <v>145</v>
      </c>
      <c r="H64" t="s">
        <v>111</v>
      </c>
      <c r="I64">
        <v>2000</v>
      </c>
      <c r="J64">
        <v>100</v>
      </c>
      <c r="K64">
        <v>200000</v>
      </c>
    </row>
    <row r="65" spans="1:11" x14ac:dyDescent="0.25">
      <c r="A65">
        <v>92</v>
      </c>
      <c r="B65" s="1">
        <v>45445</v>
      </c>
      <c r="C65" s="2">
        <v>0.88402777777777775</v>
      </c>
      <c r="D65" t="s">
        <v>159</v>
      </c>
      <c r="E65" t="s">
        <v>108</v>
      </c>
      <c r="F65" t="s">
        <v>113</v>
      </c>
      <c r="G65" t="s">
        <v>143</v>
      </c>
      <c r="H65" t="s">
        <v>132</v>
      </c>
      <c r="I65">
        <v>14000</v>
      </c>
      <c r="J65">
        <v>100</v>
      </c>
      <c r="K65">
        <v>1400000</v>
      </c>
    </row>
    <row r="66" spans="1:11" x14ac:dyDescent="0.25">
      <c r="A66">
        <v>77</v>
      </c>
      <c r="B66" s="1">
        <v>45430</v>
      </c>
      <c r="C66" s="2">
        <v>0.88402777777777775</v>
      </c>
      <c r="D66" t="s">
        <v>159</v>
      </c>
      <c r="E66" t="s">
        <v>108</v>
      </c>
      <c r="F66" t="s">
        <v>150</v>
      </c>
      <c r="G66" t="s">
        <v>151</v>
      </c>
      <c r="H66" t="s">
        <v>111</v>
      </c>
      <c r="I66">
        <v>14000</v>
      </c>
      <c r="J66">
        <v>100</v>
      </c>
      <c r="K66">
        <v>1400000</v>
      </c>
    </row>
    <row r="67" spans="1:11" x14ac:dyDescent="0.25">
      <c r="A67">
        <v>62</v>
      </c>
      <c r="B67" s="1">
        <v>45413</v>
      </c>
      <c r="C67" s="2">
        <v>0.88402777777777775</v>
      </c>
      <c r="D67" t="s">
        <v>159</v>
      </c>
      <c r="E67" t="s">
        <v>108</v>
      </c>
      <c r="F67" t="s">
        <v>152</v>
      </c>
      <c r="G67" t="s">
        <v>129</v>
      </c>
      <c r="H67" t="s">
        <v>111</v>
      </c>
      <c r="I67">
        <v>14000</v>
      </c>
      <c r="J67">
        <v>100</v>
      </c>
      <c r="K67">
        <v>1400000</v>
      </c>
    </row>
    <row r="68" spans="1:11" x14ac:dyDescent="0.25">
      <c r="A68">
        <v>89</v>
      </c>
      <c r="B68" s="1">
        <v>45442</v>
      </c>
      <c r="C68" s="2">
        <v>0.88402777777777775</v>
      </c>
      <c r="D68" t="s">
        <v>159</v>
      </c>
      <c r="E68" t="s">
        <v>108</v>
      </c>
      <c r="F68" t="s">
        <v>170</v>
      </c>
      <c r="G68" t="s">
        <v>143</v>
      </c>
      <c r="H68" t="s">
        <v>132</v>
      </c>
      <c r="I68">
        <v>2000</v>
      </c>
      <c r="J68">
        <v>100</v>
      </c>
      <c r="K68">
        <v>200000</v>
      </c>
    </row>
    <row r="69" spans="1:11" x14ac:dyDescent="0.25">
      <c r="A69">
        <v>75</v>
      </c>
      <c r="B69" s="1">
        <v>45427</v>
      </c>
      <c r="C69" s="2">
        <v>0.88402777777777775</v>
      </c>
      <c r="D69" t="s">
        <v>157</v>
      </c>
      <c r="E69" t="s">
        <v>108</v>
      </c>
      <c r="F69" t="s">
        <v>146</v>
      </c>
      <c r="G69" t="s">
        <v>147</v>
      </c>
      <c r="H69" t="s">
        <v>111</v>
      </c>
      <c r="I69">
        <v>1000</v>
      </c>
      <c r="J69">
        <v>100</v>
      </c>
      <c r="K69">
        <v>100000</v>
      </c>
    </row>
    <row r="70" spans="1:11" x14ac:dyDescent="0.25">
      <c r="A70">
        <v>72</v>
      </c>
      <c r="B70" s="1">
        <v>45425</v>
      </c>
      <c r="C70" s="2">
        <v>0.88402777777777775</v>
      </c>
      <c r="D70" t="s">
        <v>157</v>
      </c>
      <c r="E70" t="s">
        <v>108</v>
      </c>
      <c r="F70" t="s">
        <v>116</v>
      </c>
      <c r="G70" t="s">
        <v>143</v>
      </c>
      <c r="H70" t="s">
        <v>132</v>
      </c>
      <c r="I70">
        <v>4000</v>
      </c>
      <c r="J70">
        <v>100</v>
      </c>
      <c r="K70">
        <v>400000</v>
      </c>
    </row>
    <row r="71" spans="1:11" x14ac:dyDescent="0.25">
      <c r="A71">
        <v>50</v>
      </c>
      <c r="B71" s="1">
        <v>45403</v>
      </c>
      <c r="C71" s="2">
        <v>0.88402777777777775</v>
      </c>
      <c r="D71" t="s">
        <v>157</v>
      </c>
      <c r="E71" t="s">
        <v>108</v>
      </c>
      <c r="F71" t="s">
        <v>113</v>
      </c>
      <c r="G71" t="s">
        <v>151</v>
      </c>
      <c r="H71" t="s">
        <v>111</v>
      </c>
      <c r="I71">
        <v>11000</v>
      </c>
      <c r="J71">
        <v>100</v>
      </c>
      <c r="K71">
        <v>1100000</v>
      </c>
    </row>
    <row r="72" spans="1:11" x14ac:dyDescent="0.25">
      <c r="A72">
        <v>28</v>
      </c>
      <c r="B72" s="1">
        <v>45350</v>
      </c>
      <c r="C72" s="2">
        <v>0.88402777777777775</v>
      </c>
      <c r="D72" t="s">
        <v>157</v>
      </c>
      <c r="E72" t="s">
        <v>108</v>
      </c>
      <c r="F72" t="s">
        <v>152</v>
      </c>
      <c r="G72" t="s">
        <v>110</v>
      </c>
      <c r="H72" t="s">
        <v>111</v>
      </c>
      <c r="I72">
        <v>3000</v>
      </c>
      <c r="J72">
        <v>100</v>
      </c>
      <c r="K72">
        <v>300000</v>
      </c>
    </row>
    <row r="73" spans="1:11" x14ac:dyDescent="0.25">
      <c r="A73">
        <v>12</v>
      </c>
      <c r="B73" s="1">
        <v>45303</v>
      </c>
      <c r="C73" s="2">
        <v>0.88402777777777775</v>
      </c>
      <c r="D73" t="s">
        <v>112</v>
      </c>
      <c r="E73" t="s">
        <v>108</v>
      </c>
      <c r="F73" t="s">
        <v>116</v>
      </c>
      <c r="G73" t="s">
        <v>136</v>
      </c>
      <c r="H73" t="s">
        <v>111</v>
      </c>
      <c r="I73">
        <v>4000</v>
      </c>
      <c r="J73">
        <v>100</v>
      </c>
      <c r="K73">
        <v>400000</v>
      </c>
    </row>
    <row r="74" spans="1:11" x14ac:dyDescent="0.25">
      <c r="A74">
        <v>40</v>
      </c>
      <c r="B74" s="1">
        <v>45362</v>
      </c>
      <c r="C74" s="2">
        <v>0.88402777777777775</v>
      </c>
      <c r="D74" t="s">
        <v>112</v>
      </c>
      <c r="E74" t="s">
        <v>108</v>
      </c>
      <c r="F74" t="s">
        <v>116</v>
      </c>
      <c r="G74" t="s">
        <v>137</v>
      </c>
      <c r="H74" t="s">
        <v>111</v>
      </c>
      <c r="I74">
        <v>6000</v>
      </c>
      <c r="J74">
        <v>100</v>
      </c>
      <c r="K74">
        <v>600000</v>
      </c>
    </row>
    <row r="75" spans="1:11" x14ac:dyDescent="0.25">
      <c r="A75">
        <v>2</v>
      </c>
      <c r="B75" s="1">
        <v>45293</v>
      </c>
      <c r="C75" s="2">
        <v>0.88402777777777775</v>
      </c>
      <c r="D75" t="s">
        <v>112</v>
      </c>
      <c r="E75" t="s">
        <v>108</v>
      </c>
      <c r="F75" t="s">
        <v>113</v>
      </c>
      <c r="G75" t="s">
        <v>114</v>
      </c>
      <c r="H75" t="s">
        <v>111</v>
      </c>
      <c r="I75">
        <v>14000</v>
      </c>
      <c r="J75">
        <v>100</v>
      </c>
      <c r="K75">
        <v>1400000</v>
      </c>
    </row>
    <row r="76" spans="1:11" x14ac:dyDescent="0.25">
      <c r="A76">
        <v>23</v>
      </c>
      <c r="B76" s="1">
        <v>45345</v>
      </c>
      <c r="C76" s="2">
        <v>0.88402777777777775</v>
      </c>
      <c r="D76" t="s">
        <v>112</v>
      </c>
      <c r="E76" t="s">
        <v>108</v>
      </c>
      <c r="F76" t="s">
        <v>150</v>
      </c>
      <c r="G76" t="s">
        <v>151</v>
      </c>
      <c r="H76" t="s">
        <v>111</v>
      </c>
      <c r="I76">
        <v>8000</v>
      </c>
      <c r="J76">
        <v>100</v>
      </c>
      <c r="K76">
        <v>800000</v>
      </c>
    </row>
    <row r="77" spans="1:11" x14ac:dyDescent="0.25">
      <c r="A77">
        <v>11</v>
      </c>
      <c r="B77" s="1">
        <v>45302</v>
      </c>
      <c r="C77" s="2">
        <v>0.88402777777777775</v>
      </c>
      <c r="D77" t="s">
        <v>107</v>
      </c>
      <c r="E77" t="s">
        <v>108</v>
      </c>
      <c r="F77" t="s">
        <v>128</v>
      </c>
      <c r="G77" t="s">
        <v>135</v>
      </c>
      <c r="H77" t="s">
        <v>111</v>
      </c>
      <c r="I77">
        <v>5000</v>
      </c>
      <c r="J77">
        <v>100</v>
      </c>
      <c r="K77">
        <v>500000</v>
      </c>
    </row>
    <row r="78" spans="1:11" x14ac:dyDescent="0.25">
      <c r="A78">
        <v>39</v>
      </c>
      <c r="B78" s="1">
        <v>45361</v>
      </c>
      <c r="C78" s="2">
        <v>0.88402777777777775</v>
      </c>
      <c r="D78" t="s">
        <v>107</v>
      </c>
      <c r="E78" t="s">
        <v>108</v>
      </c>
      <c r="F78" t="s">
        <v>113</v>
      </c>
      <c r="G78" t="s">
        <v>136</v>
      </c>
      <c r="H78" t="s">
        <v>111</v>
      </c>
      <c r="I78">
        <v>7000</v>
      </c>
      <c r="J78">
        <v>100</v>
      </c>
      <c r="K78">
        <v>700000</v>
      </c>
    </row>
    <row r="79" spans="1:11" x14ac:dyDescent="0.25">
      <c r="A79">
        <v>1</v>
      </c>
      <c r="B79" s="1">
        <v>45292</v>
      </c>
      <c r="C79" s="2">
        <v>0.88402777777777775</v>
      </c>
      <c r="D79" t="s">
        <v>107</v>
      </c>
      <c r="E79" t="s">
        <v>108</v>
      </c>
      <c r="F79" t="s">
        <v>109</v>
      </c>
      <c r="G79" t="s">
        <v>110</v>
      </c>
      <c r="H79" t="s">
        <v>111</v>
      </c>
      <c r="I79">
        <v>15000</v>
      </c>
      <c r="J79">
        <v>100</v>
      </c>
      <c r="K79">
        <v>1500000</v>
      </c>
    </row>
    <row r="80" spans="1:11" x14ac:dyDescent="0.25">
      <c r="A80">
        <v>22</v>
      </c>
      <c r="B80" s="1">
        <v>45344</v>
      </c>
      <c r="C80" s="2">
        <v>0.88402777777777775</v>
      </c>
      <c r="D80" t="s">
        <v>107</v>
      </c>
      <c r="E80" t="s">
        <v>108</v>
      </c>
      <c r="F80" t="s">
        <v>148</v>
      </c>
      <c r="G80" t="s">
        <v>149</v>
      </c>
      <c r="H80" t="s">
        <v>111</v>
      </c>
      <c r="I80">
        <v>9000</v>
      </c>
      <c r="J80">
        <v>100</v>
      </c>
      <c r="K80">
        <v>900000</v>
      </c>
    </row>
    <row r="81" spans="1:11" x14ac:dyDescent="0.25">
      <c r="A81">
        <v>3</v>
      </c>
      <c r="B81" s="1">
        <v>45294</v>
      </c>
      <c r="C81" s="2">
        <v>0.88402777777777775</v>
      </c>
      <c r="D81" t="s">
        <v>115</v>
      </c>
      <c r="E81" t="s">
        <v>108</v>
      </c>
      <c r="F81" t="s">
        <v>116</v>
      </c>
      <c r="G81" t="s">
        <v>117</v>
      </c>
      <c r="H81" t="s">
        <v>111</v>
      </c>
      <c r="I81">
        <v>13000</v>
      </c>
      <c r="J81">
        <v>100</v>
      </c>
      <c r="K81">
        <v>1300000</v>
      </c>
    </row>
    <row r="82" spans="1:11" x14ac:dyDescent="0.25">
      <c r="A82">
        <v>24</v>
      </c>
      <c r="B82" s="1">
        <v>45346</v>
      </c>
      <c r="C82" s="2">
        <v>0.88402777777777775</v>
      </c>
      <c r="D82" t="s">
        <v>115</v>
      </c>
      <c r="E82" t="s">
        <v>108</v>
      </c>
      <c r="F82" t="s">
        <v>152</v>
      </c>
      <c r="G82" t="s">
        <v>153</v>
      </c>
      <c r="H82" t="s">
        <v>111</v>
      </c>
      <c r="I82">
        <v>7000</v>
      </c>
      <c r="J82">
        <v>100</v>
      </c>
      <c r="K82">
        <v>700000</v>
      </c>
    </row>
    <row r="83" spans="1:11" x14ac:dyDescent="0.25">
      <c r="A83">
        <v>13</v>
      </c>
      <c r="B83" s="1">
        <v>45304</v>
      </c>
      <c r="C83" s="2">
        <v>0.88402777777777775</v>
      </c>
      <c r="D83" t="s">
        <v>115</v>
      </c>
      <c r="E83" t="s">
        <v>108</v>
      </c>
      <c r="F83" t="s">
        <v>109</v>
      </c>
      <c r="G83" t="s">
        <v>137</v>
      </c>
      <c r="H83" t="s">
        <v>111</v>
      </c>
      <c r="I83">
        <v>3000</v>
      </c>
      <c r="J83">
        <v>100</v>
      </c>
      <c r="K83">
        <v>300000</v>
      </c>
    </row>
    <row r="84" spans="1:11" x14ac:dyDescent="0.25">
      <c r="A84">
        <v>41</v>
      </c>
      <c r="B84" s="1">
        <v>45363</v>
      </c>
      <c r="C84" s="2">
        <v>0.88402777777777775</v>
      </c>
      <c r="D84" t="s">
        <v>115</v>
      </c>
      <c r="E84" t="s">
        <v>108</v>
      </c>
      <c r="F84" t="s">
        <v>109</v>
      </c>
      <c r="G84" t="s">
        <v>138</v>
      </c>
      <c r="H84" t="s">
        <v>111</v>
      </c>
      <c r="I84">
        <v>5000</v>
      </c>
      <c r="J84">
        <v>100</v>
      </c>
      <c r="K84">
        <v>500000</v>
      </c>
    </row>
    <row r="85" spans="1:11" x14ac:dyDescent="0.25">
      <c r="A85">
        <v>79</v>
      </c>
      <c r="B85" s="1">
        <v>45432</v>
      </c>
      <c r="C85" s="2">
        <v>0.88402777777777775</v>
      </c>
      <c r="D85" t="s">
        <v>161</v>
      </c>
      <c r="E85" t="s">
        <v>108</v>
      </c>
      <c r="F85" t="s">
        <v>146</v>
      </c>
      <c r="G85" t="s">
        <v>154</v>
      </c>
      <c r="H85" t="s">
        <v>111</v>
      </c>
      <c r="I85">
        <v>12000</v>
      </c>
      <c r="J85">
        <v>100</v>
      </c>
      <c r="K85">
        <v>1200000</v>
      </c>
    </row>
    <row r="86" spans="1:11" x14ac:dyDescent="0.25">
      <c r="A86">
        <v>64</v>
      </c>
      <c r="B86" s="1">
        <v>45413</v>
      </c>
      <c r="C86" s="2">
        <v>0.88402777777777775</v>
      </c>
      <c r="D86" t="s">
        <v>161</v>
      </c>
      <c r="E86" t="s">
        <v>108</v>
      </c>
      <c r="F86" t="s">
        <v>116</v>
      </c>
      <c r="G86" t="s">
        <v>134</v>
      </c>
      <c r="H86" t="s">
        <v>111</v>
      </c>
      <c r="I86">
        <v>12000</v>
      </c>
      <c r="J86">
        <v>100</v>
      </c>
      <c r="K86">
        <v>1200000</v>
      </c>
    </row>
    <row r="87" spans="1:11" x14ac:dyDescent="0.25">
      <c r="A87">
        <v>67</v>
      </c>
      <c r="B87" s="1">
        <v>45420</v>
      </c>
      <c r="C87" s="2">
        <v>0.88402777777777775</v>
      </c>
      <c r="D87" t="s">
        <v>161</v>
      </c>
      <c r="E87" t="s">
        <v>108</v>
      </c>
      <c r="F87" t="s">
        <v>116</v>
      </c>
      <c r="G87" t="s">
        <v>137</v>
      </c>
      <c r="H87" t="s">
        <v>111</v>
      </c>
      <c r="I87">
        <v>9000</v>
      </c>
      <c r="J87">
        <v>100</v>
      </c>
      <c r="K87">
        <v>900000</v>
      </c>
    </row>
    <row r="88" spans="1:11" x14ac:dyDescent="0.25">
      <c r="A88">
        <v>32</v>
      </c>
      <c r="B88" s="1">
        <v>45354</v>
      </c>
      <c r="C88" s="2">
        <v>0.88402777777777775</v>
      </c>
      <c r="D88" t="s">
        <v>161</v>
      </c>
      <c r="E88" t="s">
        <v>108</v>
      </c>
      <c r="F88" t="s">
        <v>128</v>
      </c>
      <c r="G88" t="s">
        <v>122</v>
      </c>
      <c r="H88" t="s">
        <v>111</v>
      </c>
      <c r="I88">
        <v>14000</v>
      </c>
      <c r="J88">
        <v>100</v>
      </c>
      <c r="K88">
        <v>1400000</v>
      </c>
    </row>
    <row r="89" spans="1:11" x14ac:dyDescent="0.25">
      <c r="A89">
        <v>91</v>
      </c>
      <c r="B89" s="1">
        <v>45444</v>
      </c>
      <c r="C89" s="2">
        <v>0.88402777777777775</v>
      </c>
      <c r="D89" t="s">
        <v>161</v>
      </c>
      <c r="E89" t="s">
        <v>108</v>
      </c>
      <c r="F89" t="s">
        <v>152</v>
      </c>
      <c r="G89" t="s">
        <v>131</v>
      </c>
      <c r="H89" t="s">
        <v>132</v>
      </c>
      <c r="I89">
        <v>15000</v>
      </c>
      <c r="J89">
        <v>100</v>
      </c>
      <c r="K89">
        <v>1500000</v>
      </c>
    </row>
    <row r="90" spans="1:11" x14ac:dyDescent="0.25">
      <c r="A90">
        <v>68</v>
      </c>
      <c r="B90" s="1">
        <v>45421</v>
      </c>
      <c r="C90" s="2">
        <v>0.88402777777777775</v>
      </c>
      <c r="D90" t="s">
        <v>168</v>
      </c>
      <c r="E90" t="s">
        <v>108</v>
      </c>
      <c r="F90" t="s">
        <v>109</v>
      </c>
      <c r="G90" t="s">
        <v>138</v>
      </c>
      <c r="H90" t="s">
        <v>111</v>
      </c>
      <c r="I90">
        <v>8000</v>
      </c>
      <c r="J90">
        <v>100</v>
      </c>
      <c r="K90">
        <v>800000</v>
      </c>
    </row>
    <row r="91" spans="1:11" x14ac:dyDescent="0.25">
      <c r="A91">
        <v>71</v>
      </c>
      <c r="B91" s="1">
        <v>45424</v>
      </c>
      <c r="C91" s="2">
        <v>0.88402777777777775</v>
      </c>
      <c r="D91" t="s">
        <v>173</v>
      </c>
      <c r="E91" t="s">
        <v>108</v>
      </c>
      <c r="F91" t="s">
        <v>113</v>
      </c>
      <c r="G91" t="s">
        <v>142</v>
      </c>
      <c r="H91" t="s">
        <v>111</v>
      </c>
      <c r="I91">
        <v>5000</v>
      </c>
      <c r="J91">
        <v>100</v>
      </c>
      <c r="K91">
        <v>500000</v>
      </c>
    </row>
    <row r="92" spans="1:11" x14ac:dyDescent="0.25">
      <c r="A92">
        <v>70</v>
      </c>
      <c r="B92" s="1">
        <v>45423</v>
      </c>
      <c r="C92" s="2">
        <v>0.88402777777777775</v>
      </c>
      <c r="D92" t="s">
        <v>171</v>
      </c>
      <c r="E92" t="s">
        <v>108</v>
      </c>
      <c r="F92" t="s">
        <v>172</v>
      </c>
      <c r="G92" t="s">
        <v>141</v>
      </c>
      <c r="H92" t="s">
        <v>111</v>
      </c>
      <c r="I92">
        <v>6000</v>
      </c>
      <c r="J92">
        <v>100</v>
      </c>
      <c r="K92">
        <v>600000</v>
      </c>
    </row>
    <row r="93" spans="1:11" x14ac:dyDescent="0.25">
      <c r="A93">
        <v>69</v>
      </c>
      <c r="B93" s="1">
        <v>45422</v>
      </c>
      <c r="C93" s="2">
        <v>0.88402777777777775</v>
      </c>
      <c r="D93" t="s">
        <v>169</v>
      </c>
      <c r="E93" t="s">
        <v>108</v>
      </c>
      <c r="F93" t="s">
        <v>170</v>
      </c>
      <c r="G93" t="s">
        <v>140</v>
      </c>
      <c r="H93" t="s">
        <v>132</v>
      </c>
      <c r="I93">
        <v>7000</v>
      </c>
      <c r="J93">
        <v>100</v>
      </c>
      <c r="K93">
        <v>700000</v>
      </c>
    </row>
    <row r="94" spans="1:11" x14ac:dyDescent="0.25">
      <c r="A94">
        <v>73</v>
      </c>
      <c r="B94" s="1">
        <v>45426</v>
      </c>
      <c r="C94" s="2">
        <v>0.88402777777777775</v>
      </c>
      <c r="D94" t="s">
        <v>158</v>
      </c>
      <c r="E94" t="s">
        <v>108</v>
      </c>
      <c r="F94" t="s">
        <v>128</v>
      </c>
      <c r="G94" t="s">
        <v>144</v>
      </c>
      <c r="H94" t="s">
        <v>111</v>
      </c>
      <c r="I94">
        <v>3000</v>
      </c>
      <c r="J94">
        <v>100</v>
      </c>
      <c r="K94">
        <v>300000</v>
      </c>
    </row>
    <row r="95" spans="1:11" x14ac:dyDescent="0.25">
      <c r="A95">
        <v>29</v>
      </c>
      <c r="B95" s="1">
        <v>45351</v>
      </c>
      <c r="C95" s="2">
        <v>0.88402777777777775</v>
      </c>
      <c r="D95" t="s">
        <v>158</v>
      </c>
      <c r="E95" t="s">
        <v>108</v>
      </c>
      <c r="F95" t="s">
        <v>113</v>
      </c>
      <c r="G95" t="s">
        <v>114</v>
      </c>
      <c r="H95" t="s">
        <v>111</v>
      </c>
      <c r="I95">
        <v>2000</v>
      </c>
      <c r="J95">
        <v>100</v>
      </c>
      <c r="K95">
        <v>200000</v>
      </c>
    </row>
    <row r="96" spans="1:11" x14ac:dyDescent="0.25">
      <c r="A96">
        <v>51</v>
      </c>
      <c r="B96" s="1">
        <v>45404</v>
      </c>
      <c r="C96" s="2">
        <v>0.88402777777777775</v>
      </c>
      <c r="D96" t="s">
        <v>158</v>
      </c>
      <c r="E96" t="s">
        <v>108</v>
      </c>
      <c r="F96" t="s">
        <v>113</v>
      </c>
      <c r="G96" t="s">
        <v>153</v>
      </c>
      <c r="H96" t="s">
        <v>111</v>
      </c>
      <c r="I96">
        <v>10000</v>
      </c>
      <c r="J96">
        <v>100</v>
      </c>
      <c r="K96">
        <v>1000000</v>
      </c>
    </row>
    <row r="97" spans="1:11" x14ac:dyDescent="0.25">
      <c r="A97">
        <v>76</v>
      </c>
      <c r="B97" s="1">
        <v>45427</v>
      </c>
      <c r="C97" s="2">
        <v>0.88402777777777775</v>
      </c>
      <c r="D97" t="s">
        <v>158</v>
      </c>
      <c r="E97" t="s">
        <v>108</v>
      </c>
      <c r="F97" t="s">
        <v>148</v>
      </c>
      <c r="G97" t="s">
        <v>149</v>
      </c>
      <c r="H97" t="s">
        <v>111</v>
      </c>
      <c r="I97">
        <v>15000</v>
      </c>
      <c r="J97">
        <v>100</v>
      </c>
      <c r="K97">
        <v>1500000</v>
      </c>
    </row>
    <row r="98" spans="1:11" x14ac:dyDescent="0.25">
      <c r="A98">
        <v>42</v>
      </c>
      <c r="B98" s="1">
        <v>45364</v>
      </c>
      <c r="C98" s="2">
        <v>0.88402777777777775</v>
      </c>
      <c r="D98" t="s">
        <v>118</v>
      </c>
      <c r="E98" t="s">
        <v>108</v>
      </c>
      <c r="F98" t="s">
        <v>128</v>
      </c>
      <c r="G98" t="s">
        <v>140</v>
      </c>
      <c r="H98" t="s">
        <v>132</v>
      </c>
      <c r="I98">
        <v>4000</v>
      </c>
      <c r="J98">
        <v>100</v>
      </c>
      <c r="K98">
        <v>400000</v>
      </c>
    </row>
    <row r="99" spans="1:11" x14ac:dyDescent="0.25">
      <c r="A99">
        <v>14</v>
      </c>
      <c r="B99" s="1">
        <v>45305</v>
      </c>
      <c r="C99" s="2">
        <v>0.88402777777777775</v>
      </c>
      <c r="D99" t="s">
        <v>118</v>
      </c>
      <c r="E99" t="s">
        <v>108</v>
      </c>
      <c r="F99" t="s">
        <v>113</v>
      </c>
      <c r="G99" t="s">
        <v>138</v>
      </c>
      <c r="H99" t="s">
        <v>111</v>
      </c>
      <c r="I99">
        <v>2000</v>
      </c>
      <c r="J99">
        <v>100</v>
      </c>
      <c r="K99">
        <v>200000</v>
      </c>
    </row>
    <row r="100" spans="1:11" x14ac:dyDescent="0.25">
      <c r="A100">
        <v>4</v>
      </c>
      <c r="B100" s="1">
        <v>45295</v>
      </c>
      <c r="C100" s="2">
        <v>0.88402777777777775</v>
      </c>
      <c r="D100" t="s">
        <v>118</v>
      </c>
      <c r="E100" t="s">
        <v>108</v>
      </c>
      <c r="F100" t="s">
        <v>109</v>
      </c>
      <c r="G100" t="s">
        <v>119</v>
      </c>
      <c r="H100" t="s">
        <v>111</v>
      </c>
      <c r="I100">
        <v>12000</v>
      </c>
      <c r="J100">
        <v>100</v>
      </c>
      <c r="K100">
        <v>1200000</v>
      </c>
    </row>
    <row r="101" spans="1:11" x14ac:dyDescent="0.25">
      <c r="C101" s="2"/>
    </row>
    <row r="102" spans="1:11" x14ac:dyDescent="0.25">
      <c r="C10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C11D-4B49-462E-8A0C-1824D1310BB7}">
  <dimension ref="A1:S28"/>
  <sheetViews>
    <sheetView showGridLines="0" zoomScale="93" zoomScaleNormal="93" workbookViewId="0">
      <selection activeCell="L6" sqref="L6"/>
    </sheetView>
  </sheetViews>
  <sheetFormatPr defaultRowHeight="15" x14ac:dyDescent="0.25"/>
  <cols>
    <col min="2" max="2" width="10.140625" bestFit="1" customWidth="1"/>
    <col min="9" max="9" width="15.42578125" customWidth="1"/>
    <col min="11" max="11" width="12.7109375" customWidth="1"/>
    <col min="12" max="12" width="26.85546875" customWidth="1"/>
  </cols>
  <sheetData>
    <row r="1" spans="1:19" ht="15.75" x14ac:dyDescent="0.25">
      <c r="A1" s="4"/>
    </row>
    <row r="3" spans="1:19" ht="26.25" x14ac:dyDescent="0.4">
      <c r="I3" s="5" t="str">
        <f>VLOOKUP(L5,Table4[],6,FALSE)</f>
        <v>Gudang Ngawi</v>
      </c>
    </row>
    <row r="4" spans="1:19" ht="15.75" x14ac:dyDescent="0.25">
      <c r="A4" s="4"/>
      <c r="B4" s="4"/>
      <c r="C4" s="4"/>
      <c r="D4" s="4"/>
      <c r="E4" s="4"/>
      <c r="F4" s="4"/>
      <c r="G4" s="4"/>
      <c r="H4" s="4"/>
      <c r="I4" s="4" t="s">
        <v>179</v>
      </c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5.75" x14ac:dyDescent="0.25">
      <c r="A5" s="4"/>
      <c r="B5" s="4"/>
      <c r="C5" s="3" t="s">
        <v>188</v>
      </c>
      <c r="D5" s="4"/>
      <c r="E5" s="3"/>
      <c r="F5" s="4"/>
      <c r="G5" s="4"/>
      <c r="H5" s="4"/>
      <c r="I5" s="4"/>
      <c r="J5" s="4"/>
      <c r="K5" s="4" t="s">
        <v>174</v>
      </c>
      <c r="L5" s="3">
        <v>1</v>
      </c>
      <c r="M5" s="4"/>
      <c r="N5" s="4"/>
      <c r="O5" s="4"/>
      <c r="P5" s="4"/>
      <c r="Q5" s="4"/>
      <c r="R5" s="4"/>
      <c r="S5" s="4"/>
    </row>
    <row r="6" spans="1:19" ht="15.75" x14ac:dyDescent="0.25">
      <c r="A6" s="4"/>
      <c r="B6" s="4"/>
      <c r="C6" s="4" t="s">
        <v>187</v>
      </c>
      <c r="D6" s="4"/>
      <c r="E6" s="3" t="str">
        <f>VLOOKUP(L5,Table4[],4,FALSE)</f>
        <v xml:space="preserve">Kelompok Tani Merdeka </v>
      </c>
      <c r="F6" s="4"/>
      <c r="G6" s="4"/>
      <c r="H6" s="4"/>
      <c r="I6" s="4"/>
      <c r="J6" s="4"/>
      <c r="K6" s="4" t="s">
        <v>180</v>
      </c>
      <c r="L6" s="7">
        <f>VLOOKUP(L5,Table4[],2,FALSE)</f>
        <v>45292</v>
      </c>
      <c r="M6" s="4"/>
      <c r="N6" s="4"/>
      <c r="O6" s="4"/>
      <c r="P6" s="4"/>
      <c r="Q6" s="4"/>
      <c r="R6" s="4"/>
      <c r="S6" s="4"/>
    </row>
    <row r="7" spans="1:19" ht="15.7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 t="s">
        <v>175</v>
      </c>
      <c r="L7" s="8">
        <f>VLOOKUP(L5,Table4[],3,FALSE)</f>
        <v>0.88402777777777775</v>
      </c>
      <c r="M7" s="4"/>
      <c r="N7" s="4"/>
      <c r="O7" s="4"/>
      <c r="P7" s="4"/>
      <c r="Q7" s="4"/>
      <c r="R7" s="4"/>
      <c r="S7" s="4"/>
    </row>
    <row r="8" spans="1:19" ht="15.7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15.75" x14ac:dyDescent="0.25">
      <c r="A9" s="3"/>
      <c r="B9" s="9" t="s">
        <v>181</v>
      </c>
      <c r="C9" s="3"/>
      <c r="D9" s="3" t="s">
        <v>191</v>
      </c>
      <c r="E9" s="3"/>
      <c r="F9" s="3"/>
      <c r="G9" s="3"/>
      <c r="H9" s="9" t="s">
        <v>183</v>
      </c>
      <c r="I9" s="9"/>
      <c r="J9" s="9" t="s">
        <v>184</v>
      </c>
      <c r="K9" s="3"/>
      <c r="L9" s="3" t="s">
        <v>185</v>
      </c>
      <c r="M9" s="3" t="s">
        <v>186</v>
      </c>
      <c r="N9" s="4"/>
      <c r="O9" s="4"/>
      <c r="P9" s="4"/>
      <c r="Q9" s="4"/>
      <c r="R9" s="4"/>
      <c r="S9" s="4"/>
    </row>
    <row r="10" spans="1:19" ht="15.75" x14ac:dyDescent="0.25">
      <c r="A10" s="4"/>
      <c r="B10" s="6">
        <f>VLOOKUP(L5,Table4[],2,FALSE)</f>
        <v>45292</v>
      </c>
      <c r="C10" s="4"/>
      <c r="D10" s="4" t="str">
        <f>VLOOKUP(L5,Table4[],7,FALSE)</f>
        <v>Alpukat/Avocado </v>
      </c>
      <c r="E10" s="4"/>
      <c r="F10" s="4"/>
      <c r="G10" s="4"/>
      <c r="H10" s="4">
        <f>VLOOKUP(L5,Table4[],9,FALSE)</f>
        <v>15000</v>
      </c>
      <c r="I10" s="4"/>
      <c r="J10" s="4">
        <f>VLOOKUP(L5,Table4[],10,FALSE)</f>
        <v>100</v>
      </c>
      <c r="K10" s="4"/>
      <c r="L10" s="4" t="str">
        <f>VLOOKUP(L5,Table4[],5,FALSE)</f>
        <v>Kelompok Tani</v>
      </c>
      <c r="M10" s="4" t="str">
        <f>VLOOKUP(L5,Table4[],8,FALSE)</f>
        <v>Buah-Buahan</v>
      </c>
      <c r="N10" s="4"/>
      <c r="O10" s="4"/>
      <c r="P10" s="4"/>
      <c r="Q10" s="4"/>
      <c r="R10" s="4"/>
      <c r="S10" s="4"/>
    </row>
    <row r="11" spans="1:19" ht="15.7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15.7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15.7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ht="15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15.7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15.7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ht="15.7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 t="s">
        <v>176</v>
      </c>
      <c r="L17" s="10">
        <f>H10*J10</f>
        <v>1500000</v>
      </c>
      <c r="M17" s="4"/>
      <c r="N17" s="4"/>
      <c r="O17" s="4"/>
      <c r="P17" s="4"/>
      <c r="Q17" s="4"/>
      <c r="R17" s="4"/>
      <c r="S17" s="4"/>
    </row>
    <row r="18" spans="1:19" ht="15.7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 t="s">
        <v>189</v>
      </c>
      <c r="L18" s="10">
        <f>H10*J10</f>
        <v>1500000</v>
      </c>
      <c r="M18" s="4"/>
      <c r="N18" s="4"/>
      <c r="O18" s="4"/>
      <c r="P18" s="4"/>
      <c r="Q18" s="4"/>
      <c r="R18" s="4"/>
      <c r="S18" s="4"/>
    </row>
    <row r="19" spans="1:19" ht="15.7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 t="s">
        <v>190</v>
      </c>
      <c r="L19" s="10">
        <v>0</v>
      </c>
      <c r="M19" s="4"/>
      <c r="N19" s="4"/>
      <c r="O19" s="4"/>
      <c r="P19" s="4"/>
      <c r="Q19" s="4"/>
      <c r="R19" s="4"/>
      <c r="S19" s="4"/>
    </row>
    <row r="20" spans="1:19" ht="15.7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 t="s">
        <v>192</v>
      </c>
      <c r="L20" s="10">
        <f>H10*J10</f>
        <v>1500000</v>
      </c>
      <c r="M20" s="4"/>
      <c r="N20" s="4"/>
      <c r="O20" s="4"/>
      <c r="P20" s="4"/>
      <c r="Q20" s="4"/>
      <c r="R20" s="4"/>
      <c r="S20" s="4"/>
    </row>
    <row r="21" spans="1:19" ht="15.7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5.7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15.75" x14ac:dyDescent="0.25">
      <c r="A23" s="4"/>
      <c r="B23" s="3" t="s">
        <v>193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5.7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ht="15.7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ht="15.7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ht="15.7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15.7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PRODUCT ID DOESNT EXIST_x000a__x000a_" xr:uid="{677C032C-D435-4925-8D58-5C11C69428C6}">
          <x14:formula1>
            <xm:f>'CLEANED DATA'!$A$2:$A$100</xm:f>
          </x14:formula1>
          <xm:sqref>L5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337EAF-4A44-4EF4-886F-204CC44472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DATA</vt:lpstr>
      <vt:lpstr>CLEANED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 Azeezat Taiwo</dc:creator>
  <cp:lastModifiedBy>Rahman Azeezat Taiwo</cp:lastModifiedBy>
  <dcterms:created xsi:type="dcterms:W3CDTF">2026-05-28T16:30:33Z</dcterms:created>
  <dcterms:modified xsi:type="dcterms:W3CDTF">2026-06-03T20:17:20Z</dcterms:modified>
</cp:coreProperties>
</file>